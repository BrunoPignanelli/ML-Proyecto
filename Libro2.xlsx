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aronch\Downloads\"/>
    </mc:Choice>
  </mc:AlternateContent>
  <xr:revisionPtr revIDLastSave="0" documentId="8_{DE69FE6B-172D-4C33-B851-48D937E0F203}" xr6:coauthVersionLast="47" xr6:coauthVersionMax="47" xr10:uidLastSave="{00000000-0000-0000-0000-000000000000}"/>
  <bookViews>
    <workbookView xWindow="-110" yWindow="-110" windowWidth="19420" windowHeight="11500" xr2:uid="{F571B40F-46FE-4861-966B-481BAB3724F3}"/>
  </bookViews>
  <sheets>
    <sheet name="AGENC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22" i="1" l="1"/>
  <c r="AP21" i="1"/>
  <c r="AO21" i="1"/>
  <c r="AN21" i="1"/>
  <c r="AM21" i="1"/>
  <c r="AL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</calcChain>
</file>

<file path=xl/sharedStrings.xml><?xml version="1.0" encoding="utf-8"?>
<sst xmlns="http://schemas.openxmlformats.org/spreadsheetml/2006/main" count="118" uniqueCount="62">
  <si>
    <t>F. MAY</t>
  </si>
  <si>
    <t>F.ABR</t>
  </si>
  <si>
    <t>FACT MAR</t>
  </si>
  <si>
    <t>FACT FEB</t>
  </si>
  <si>
    <t>FACT ENE</t>
  </si>
  <si>
    <t>FACT DIC</t>
  </si>
  <si>
    <t>FACT NOV</t>
  </si>
  <si>
    <t>FACT OCT</t>
  </si>
  <si>
    <t>FACT SET</t>
  </si>
  <si>
    <t>FACT AGO</t>
  </si>
  <si>
    <t>FACT JUL</t>
  </si>
  <si>
    <t>FACT JUN</t>
  </si>
  <si>
    <t>FACT MAY</t>
  </si>
  <si>
    <t>FACT ABR</t>
  </si>
  <si>
    <t>AGO-JUL</t>
  </si>
  <si>
    <t>JUL-JUN</t>
  </si>
  <si>
    <t>JUN-MAY</t>
  </si>
  <si>
    <t>MAY-ABR</t>
  </si>
  <si>
    <t>ABR-MAR</t>
  </si>
  <si>
    <t>MAR-FEB</t>
  </si>
  <si>
    <t>FEB-ENE</t>
  </si>
  <si>
    <t>ENE-DIC</t>
  </si>
  <si>
    <t>DIC-NOV</t>
  </si>
  <si>
    <t>NOV-OCT</t>
  </si>
  <si>
    <t>OCT-SET</t>
  </si>
  <si>
    <t>SET-AGO</t>
  </si>
  <si>
    <t>JU-JUN</t>
  </si>
  <si>
    <t>Hermes Grassi - Trans. Berro</t>
  </si>
  <si>
    <t>40% de canje</t>
  </si>
  <si>
    <t>El Salteño (Agencia Franchi)</t>
  </si>
  <si>
    <t>100% canje</t>
  </si>
  <si>
    <t>ACCBR - Agencia Bulevar</t>
  </si>
  <si>
    <t>25% canje desde JUL22</t>
  </si>
  <si>
    <t>Casal Flugel Marcelo - Megam</t>
  </si>
  <si>
    <t>-</t>
  </si>
  <si>
    <t>Astrans (Seleguin)</t>
  </si>
  <si>
    <t>Iversol (Expreso Rocha)</t>
  </si>
  <si>
    <t>100% canje si es que hay facturas</t>
  </si>
  <si>
    <t>31103.9</t>
  </si>
  <si>
    <t>DAC</t>
  </si>
  <si>
    <t>10% canje + 15% desc si supera los 400k</t>
  </si>
  <si>
    <t>Transleo (El Tato)</t>
  </si>
  <si>
    <t>GONFER María de Lourdes Fdez</t>
  </si>
  <si>
    <t>15% canje</t>
  </si>
  <si>
    <t>Transp Nagar SAS (Expreso Ruta 1)</t>
  </si>
  <si>
    <t>0% canje</t>
  </si>
  <si>
    <t>Jorge Ed. Fernández (Perico)</t>
  </si>
  <si>
    <t>Carlos Arzuaga</t>
  </si>
  <si>
    <t>El Chambon (3EME Transportes)</t>
  </si>
  <si>
    <t>Escudero Ferná. M, Alejandro</t>
  </si>
  <si>
    <t>Calatex</t>
  </si>
  <si>
    <t>Lafran (Agencia Cuaró)</t>
  </si>
  <si>
    <t>25% canje</t>
  </si>
  <si>
    <t>Transporte Palmitas</t>
  </si>
  <si>
    <t>ACC - Agencia Cuareim</t>
  </si>
  <si>
    <t>50% canje</t>
  </si>
  <si>
    <t>Fase (Transporte Sellanes)</t>
  </si>
  <si>
    <t>Upostal Envíos Flex</t>
  </si>
  <si>
    <t>UES envíos</t>
  </si>
  <si>
    <t>DeRemate.com Cargos Varios</t>
  </si>
  <si>
    <t>MercadoPago Comisiones Cargos Varios</t>
  </si>
  <si>
    <t>Cataloa Iva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</si>
</sst>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92D050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" fontId="0" fillId="0" borderId="0" xfId="0" applyNumberFormat="1"/>
    <xf numFmtId="1" fontId="2" fillId="0" borderId="0" xfId="0" applyNumberFormat="1" applyFont="1"/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" fontId="2" fillId="0" borderId="1" xfId="0" applyNumberFormat="1" applyFont="1" applyBorder="1"/>
    <xf numFmtId="1" fontId="2" fillId="0" borderId="2" xfId="0" applyNumberFormat="1" applyFont="1" applyBorder="1"/>
    <xf numFmtId="1" fontId="0" fillId="0" borderId="3" xfId="0" applyNumberFormat="1" applyBorder="1"/>
    <xf numFmtId="1" fontId="2" fillId="0" borderId="4" xfId="0" applyNumberFormat="1" applyFont="1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1" fontId="4" fillId="0" borderId="0" xfId="0" applyNumberFormat="1" applyFont="1"/>
    <xf numFmtId="1" fontId="0" fillId="0" borderId="5" xfId="0" applyNumberFormat="1" applyBorder="1"/>
    <xf numFmtId="1" fontId="2" fillId="0" borderId="6" xfId="0" applyNumberFormat="1" applyFont="1" applyBorder="1"/>
    <xf numFmtId="1" fontId="0" fillId="0" borderId="0" xfId="0" applyNumberFormat="1" applyAlignment="1">
      <alignment horizontal="center"/>
    </xf>
    <xf numFmtId="1" fontId="1" fillId="0" borderId="0" xfId="0" applyNumberFormat="1" applyFont="1"/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" fontId="3" fillId="0" borderId="0" xfId="0" applyNumberFormat="1" applyFont="1"/>
    <xf numFmtId="0" fontId="0" fillId="0" borderId="5" xfId="0" applyBorder="1"/>
    <xf numFmtId="1" fontId="4" fillId="0" borderId="7" xfId="0" applyNumberFormat="1" applyFont="1" applyBorder="1" applyAlignment="1">
      <alignment horizontal="center"/>
    </xf>
    <xf numFmtId="1" fontId="6" fillId="0" borderId="0" xfId="0" applyNumberFormat="1" applyFont="1"/>
    <xf numFmtId="1" fontId="0" fillId="0" borderId="8" xfId="0" applyNumberFormat="1" applyBorder="1"/>
    <xf numFmtId="1" fontId="2" fillId="0" borderId="9" xfId="0" applyNumberFormat="1" applyFont="1" applyBorder="1"/>
    <xf numFmtId="3" fontId="0" fillId="0" borderId="0" xfId="0" applyNumberFormat="1"/>
    <xf numFmtId="3" fontId="2" fillId="0" borderId="0" xfId="0" applyNumberFormat="1" applyFont="1"/>
    <xf numFmtId="3" fontId="5" fillId="0" borderId="0" xfId="0" applyNumberFormat="1" applyFont="1" applyAlignment="1">
      <alignment horizontal="center"/>
    </xf>
    <xf numFmtId="3" fontId="5" fillId="0" borderId="0" xfId="0" applyNumberFormat="1" applyFont="1"/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D2C3-0376-46C1-A786-48D077C7D7A7}">
  <dimension ref="A1:BX28"/>
  <sheetViews>
    <sheetView tabSelected="1" zoomScaleNormal="100" workbookViewId="0">
      <selection activeCell="G14" sqref="G14"/>
    </sheetView>
  </sheetViews>
  <sheetFormatPr baseColWidth="10" defaultColWidth="11.453125" defaultRowHeight="14.5" x14ac:dyDescent="0.35"/>
  <cols>
    <col min="1" max="1" width="31.26953125" style="1" bestFit="1" customWidth="1"/>
    <col min="2" max="2" width="28.1796875" style="2" customWidth="1"/>
    <col min="3" max="3" width="9.1796875" style="32" bestFit="1" customWidth="1"/>
    <col min="4" max="9" width="9.1796875" style="33" bestFit="1" customWidth="1"/>
    <col min="10" max="11" width="8" style="33" bestFit="1" customWidth="1"/>
    <col min="12" max="12" width="9" style="33" bestFit="1" customWidth="1"/>
    <col min="13" max="17" width="8" style="33" bestFit="1" customWidth="1"/>
    <col min="18" max="18" width="9.1796875" style="33" bestFit="1" customWidth="1"/>
    <col min="19" max="19" width="10" style="33" bestFit="1" customWidth="1"/>
    <col min="20" max="21" width="9.81640625" style="33" bestFit="1" customWidth="1"/>
    <col min="22" max="28" width="9" style="33" customWidth="1"/>
    <col min="29" max="29" width="9.1796875" style="33" bestFit="1" customWidth="1"/>
    <col min="30" max="31" width="8.81640625" style="22" bestFit="1" customWidth="1"/>
    <col min="32" max="32" width="9.1796875" style="22" bestFit="1" customWidth="1"/>
    <col min="33" max="33" width="8.81640625" style="22" bestFit="1" customWidth="1"/>
    <col min="34" max="38" width="7.54296875" style="22" bestFit="1" customWidth="1"/>
    <col min="39" max="39" width="8.453125" style="22" customWidth="1"/>
    <col min="40" max="40" width="8.81640625" style="22" bestFit="1" customWidth="1"/>
    <col min="41" max="41" width="7.54296875" style="22" bestFit="1" customWidth="1"/>
    <col min="42" max="42" width="8.81640625" style="22" bestFit="1" customWidth="1"/>
    <col min="43" max="43" width="7" style="2" bestFit="1" customWidth="1"/>
    <col min="44" max="44" width="7" style="1" bestFit="1" customWidth="1"/>
    <col min="45" max="45" width="7" style="2" bestFit="1" customWidth="1"/>
    <col min="46" max="49" width="7" style="1" bestFit="1" customWidth="1"/>
    <col min="50" max="50" width="6.81640625" style="1" bestFit="1" customWidth="1"/>
    <col min="51" max="16384" width="11.453125" style="1"/>
  </cols>
  <sheetData>
    <row r="1" spans="1:50" ht="15" thickBot="1" x14ac:dyDescent="0.4"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2</v>
      </c>
      <c r="R1" s="4" t="s">
        <v>3</v>
      </c>
      <c r="S1" s="4" t="s">
        <v>4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18</v>
      </c>
      <c r="AC1" s="4" t="s">
        <v>19</v>
      </c>
      <c r="AD1" s="5" t="s">
        <v>20</v>
      </c>
      <c r="AE1" s="5" t="s">
        <v>21</v>
      </c>
      <c r="AF1" s="5" t="s">
        <v>22</v>
      </c>
      <c r="AG1" s="5" t="s">
        <v>23</v>
      </c>
      <c r="AH1" s="5" t="s">
        <v>24</v>
      </c>
      <c r="AI1" s="5" t="s">
        <v>25</v>
      </c>
      <c r="AJ1" s="5" t="s">
        <v>14</v>
      </c>
      <c r="AK1" s="5" t="s">
        <v>26</v>
      </c>
      <c r="AL1" s="5" t="s">
        <v>17</v>
      </c>
      <c r="AM1" s="5" t="s">
        <v>18</v>
      </c>
      <c r="AN1" s="5" t="s">
        <v>19</v>
      </c>
      <c r="AO1" s="5" t="s">
        <v>20</v>
      </c>
      <c r="AP1" s="5" t="s">
        <v>21</v>
      </c>
      <c r="AQ1" s="6" t="s">
        <v>22</v>
      </c>
      <c r="AR1" s="6" t="s">
        <v>23</v>
      </c>
      <c r="AS1" s="6" t="s">
        <v>24</v>
      </c>
      <c r="AT1" s="6" t="s">
        <v>25</v>
      </c>
      <c r="AU1" s="6" t="s">
        <v>14</v>
      </c>
      <c r="AV1" s="6" t="s">
        <v>15</v>
      </c>
      <c r="AW1" s="6" t="s">
        <v>16</v>
      </c>
      <c r="AX1" s="7" t="s">
        <v>17</v>
      </c>
    </row>
    <row r="2" spans="1:50" x14ac:dyDescent="0.35">
      <c r="A2" s="8" t="s">
        <v>27</v>
      </c>
      <c r="B2" s="9" t="s">
        <v>28</v>
      </c>
      <c r="C2" s="10">
        <v>591842</v>
      </c>
      <c r="D2" s="11">
        <v>767008</v>
      </c>
      <c r="E2" s="11">
        <v>566716</v>
      </c>
      <c r="F2" s="11">
        <v>702988</v>
      </c>
      <c r="G2" s="11">
        <v>759846</v>
      </c>
      <c r="H2" s="11">
        <v>640795</v>
      </c>
      <c r="I2" s="11">
        <v>626040</v>
      </c>
      <c r="J2" s="11">
        <v>605338</v>
      </c>
      <c r="K2" s="11">
        <v>544618</v>
      </c>
      <c r="L2" s="11">
        <v>692474</v>
      </c>
      <c r="M2" s="11">
        <v>534984</v>
      </c>
      <c r="N2" s="11">
        <v>620800</v>
      </c>
      <c r="O2" s="11">
        <v>541402</v>
      </c>
      <c r="P2" s="11">
        <v>518229</v>
      </c>
      <c r="Q2" s="11">
        <v>606846</v>
      </c>
      <c r="R2" s="11">
        <v>787042</v>
      </c>
      <c r="S2" s="11">
        <v>676662</v>
      </c>
      <c r="T2" s="11">
        <v>799001</v>
      </c>
      <c r="U2" s="11">
        <v>720191</v>
      </c>
      <c r="V2" s="11">
        <v>516398</v>
      </c>
      <c r="W2" s="11">
        <v>678111</v>
      </c>
      <c r="X2" s="11">
        <v>709868</v>
      </c>
      <c r="Y2" s="11">
        <v>681483</v>
      </c>
      <c r="Z2" s="11">
        <v>816945</v>
      </c>
      <c r="AA2" s="11">
        <v>749840</v>
      </c>
      <c r="AB2" s="11">
        <v>697830</v>
      </c>
      <c r="AC2" s="11">
        <v>803650</v>
      </c>
      <c r="AD2" s="12">
        <v>1086842</v>
      </c>
      <c r="AE2" s="12">
        <v>658113</v>
      </c>
      <c r="AF2" s="12">
        <v>475515</v>
      </c>
      <c r="AG2" s="12">
        <v>655731</v>
      </c>
      <c r="AH2" s="12">
        <v>424124</v>
      </c>
      <c r="AI2" s="12">
        <v>409895</v>
      </c>
      <c r="AJ2" s="12">
        <v>523828</v>
      </c>
      <c r="AK2" s="12">
        <v>509906</v>
      </c>
      <c r="AL2" s="13">
        <v>370564</v>
      </c>
      <c r="AM2" s="14">
        <v>597251</v>
      </c>
      <c r="AN2" s="14">
        <v>838947</v>
      </c>
      <c r="AO2" s="14">
        <v>617790</v>
      </c>
      <c r="AP2" s="14">
        <v>879847</v>
      </c>
      <c r="AQ2" s="14">
        <v>874766</v>
      </c>
      <c r="AR2" s="14">
        <v>763715</v>
      </c>
      <c r="AS2" s="14">
        <v>623772</v>
      </c>
      <c r="AT2" s="14">
        <v>700164</v>
      </c>
      <c r="AU2" s="14">
        <v>556784</v>
      </c>
      <c r="AV2" s="14">
        <v>362760</v>
      </c>
      <c r="AW2" s="1">
        <v>507976</v>
      </c>
    </row>
    <row r="3" spans="1:50" x14ac:dyDescent="0.35">
      <c r="A3" s="15" t="s">
        <v>29</v>
      </c>
      <c r="B3" s="16" t="s">
        <v>30</v>
      </c>
      <c r="C3" s="10"/>
      <c r="D3" s="11">
        <v>36430</v>
      </c>
      <c r="E3" s="11">
        <v>34160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  <c r="AE3" s="12"/>
      <c r="AF3" s="12"/>
      <c r="AG3" s="12"/>
      <c r="AH3" s="12"/>
      <c r="AI3" s="12"/>
      <c r="AJ3" s="12"/>
      <c r="AK3" s="12"/>
      <c r="AL3" s="13"/>
      <c r="AM3" s="14"/>
      <c r="AN3" s="14"/>
      <c r="AO3" s="14"/>
      <c r="AP3" s="14"/>
      <c r="AQ3" s="14"/>
      <c r="AR3" s="14"/>
      <c r="AS3" s="14"/>
      <c r="AT3" s="14"/>
      <c r="AU3" s="14"/>
      <c r="AV3" s="14"/>
    </row>
    <row r="4" spans="1:50" x14ac:dyDescent="0.35">
      <c r="A4" s="15" t="s">
        <v>31</v>
      </c>
      <c r="B4" s="16" t="s">
        <v>32</v>
      </c>
      <c r="C4" s="17">
        <v>37646</v>
      </c>
      <c r="D4" s="12">
        <v>48851</v>
      </c>
      <c r="E4" s="12">
        <v>93347</v>
      </c>
      <c r="F4" s="12">
        <v>56643</v>
      </c>
      <c r="G4" s="12">
        <v>65079</v>
      </c>
      <c r="H4" s="12">
        <v>49412</v>
      </c>
      <c r="I4" s="12">
        <v>47288</v>
      </c>
      <c r="J4" s="12">
        <v>55432</v>
      </c>
      <c r="K4" s="12">
        <v>36980</v>
      </c>
      <c r="L4" s="12">
        <v>33318</v>
      </c>
      <c r="M4" s="12">
        <v>34353</v>
      </c>
      <c r="N4" s="12">
        <v>31556</v>
      </c>
      <c r="O4" s="12">
        <v>18804</v>
      </c>
      <c r="P4" s="12">
        <v>27014</v>
      </c>
      <c r="Q4" s="12">
        <v>27972</v>
      </c>
      <c r="R4" s="12">
        <v>60650</v>
      </c>
      <c r="S4" s="12">
        <v>61152</v>
      </c>
      <c r="T4" s="12">
        <v>36905</v>
      </c>
      <c r="U4" s="12">
        <v>46375</v>
      </c>
      <c r="V4" s="12">
        <v>39136</v>
      </c>
      <c r="W4" s="12">
        <v>20932</v>
      </c>
      <c r="X4" s="12">
        <v>43445</v>
      </c>
      <c r="Y4" s="12">
        <v>33803</v>
      </c>
      <c r="Z4" s="12">
        <v>80034</v>
      </c>
      <c r="AA4" s="12">
        <v>63718</v>
      </c>
      <c r="AB4" s="12">
        <v>86427</v>
      </c>
      <c r="AC4" s="12">
        <v>66675</v>
      </c>
      <c r="AD4" s="12">
        <v>100381</v>
      </c>
      <c r="AE4" s="12">
        <v>44893</v>
      </c>
      <c r="AF4" s="12">
        <v>28089</v>
      </c>
      <c r="AG4" s="12">
        <v>21795</v>
      </c>
      <c r="AH4" s="12">
        <v>14480</v>
      </c>
      <c r="AI4" s="12">
        <v>30291</v>
      </c>
      <c r="AJ4" s="12">
        <v>38104</v>
      </c>
      <c r="AK4" s="12">
        <v>45866</v>
      </c>
      <c r="AL4" s="14">
        <v>32428</v>
      </c>
      <c r="AM4" s="14">
        <v>39501</v>
      </c>
      <c r="AN4" s="14">
        <v>44165</v>
      </c>
      <c r="AO4" s="14">
        <v>31188</v>
      </c>
      <c r="AP4" s="18">
        <v>33888</v>
      </c>
      <c r="AQ4" s="14">
        <v>25725</v>
      </c>
      <c r="AR4" s="14">
        <v>16471</v>
      </c>
      <c r="AS4" s="14">
        <v>16328.48</v>
      </c>
      <c r="AT4" s="14">
        <v>9923</v>
      </c>
      <c r="AU4" s="14">
        <v>11391</v>
      </c>
      <c r="AV4" s="1">
        <v>19778</v>
      </c>
      <c r="AW4" s="1">
        <v>30232</v>
      </c>
    </row>
    <row r="5" spans="1:50" ht="15.75" customHeight="1" x14ac:dyDescent="0.35">
      <c r="A5" s="15" t="s">
        <v>33</v>
      </c>
      <c r="B5" s="16" t="s">
        <v>32</v>
      </c>
      <c r="C5" s="17"/>
      <c r="D5" s="12">
        <v>127150</v>
      </c>
      <c r="E5" s="12">
        <v>95050</v>
      </c>
      <c r="F5" s="12">
        <v>118460</v>
      </c>
      <c r="G5" s="12">
        <v>120620</v>
      </c>
      <c r="H5" s="12">
        <v>109750</v>
      </c>
      <c r="I5" s="12">
        <v>95350</v>
      </c>
      <c r="J5" s="12">
        <v>118700</v>
      </c>
      <c r="K5" s="12">
        <v>70530</v>
      </c>
      <c r="L5" s="19"/>
      <c r="M5" s="12">
        <v>84750</v>
      </c>
      <c r="N5" s="12">
        <v>73330</v>
      </c>
      <c r="O5" s="12">
        <v>107760</v>
      </c>
      <c r="P5" s="12">
        <v>97400</v>
      </c>
      <c r="Q5" s="12">
        <v>90670</v>
      </c>
      <c r="R5" s="12">
        <v>110830</v>
      </c>
      <c r="S5" s="12">
        <v>123000</v>
      </c>
      <c r="T5" s="12">
        <v>104030</v>
      </c>
      <c r="U5" s="12">
        <v>94640</v>
      </c>
      <c r="V5" s="12">
        <v>68920</v>
      </c>
      <c r="W5" s="12">
        <v>60870</v>
      </c>
      <c r="X5" s="12">
        <v>75130</v>
      </c>
      <c r="Y5" s="19">
        <v>20264</v>
      </c>
      <c r="Z5" s="19">
        <v>45420</v>
      </c>
      <c r="AA5" s="12">
        <v>64059</v>
      </c>
      <c r="AB5" s="12"/>
      <c r="AC5" s="12"/>
      <c r="AD5" s="12">
        <v>55065</v>
      </c>
      <c r="AE5" s="12">
        <v>20147</v>
      </c>
      <c r="AF5" s="12">
        <v>32959</v>
      </c>
      <c r="AG5" s="12">
        <v>26757</v>
      </c>
      <c r="AH5" s="12">
        <v>17638</v>
      </c>
      <c r="AI5" s="12">
        <v>24482</v>
      </c>
      <c r="AJ5" s="12">
        <v>19567</v>
      </c>
      <c r="AK5" s="12">
        <v>35174</v>
      </c>
      <c r="AL5" s="14">
        <v>34990</v>
      </c>
      <c r="AM5" s="14"/>
      <c r="AN5" s="14">
        <v>36700</v>
      </c>
      <c r="AO5" s="14">
        <v>28855</v>
      </c>
      <c r="AP5" s="14">
        <v>36441</v>
      </c>
      <c r="AQ5" s="1" t="s">
        <v>34</v>
      </c>
      <c r="AR5" s="14">
        <v>22985</v>
      </c>
      <c r="AS5" s="14">
        <v>43100</v>
      </c>
      <c r="AT5" s="14">
        <v>81600</v>
      </c>
      <c r="AU5" s="14">
        <v>59835</v>
      </c>
    </row>
    <row r="6" spans="1:50" x14ac:dyDescent="0.35">
      <c r="A6" s="15" t="s">
        <v>35</v>
      </c>
      <c r="B6" s="16" t="s">
        <v>30</v>
      </c>
      <c r="C6" s="17">
        <v>72186</v>
      </c>
      <c r="D6" s="12">
        <v>66680</v>
      </c>
      <c r="E6" s="12">
        <v>48210</v>
      </c>
      <c r="F6" s="12">
        <v>97974</v>
      </c>
      <c r="G6" s="12">
        <v>59066</v>
      </c>
      <c r="H6" s="12">
        <v>42157</v>
      </c>
      <c r="I6" s="12">
        <v>48300</v>
      </c>
      <c r="J6" s="12">
        <v>13365</v>
      </c>
      <c r="K6" s="12">
        <v>53272</v>
      </c>
      <c r="L6" s="12">
        <v>26803</v>
      </c>
      <c r="M6" s="12">
        <v>40095</v>
      </c>
      <c r="N6" s="12">
        <v>49906</v>
      </c>
      <c r="O6" s="12">
        <v>47403</v>
      </c>
      <c r="P6" s="12">
        <v>56383</v>
      </c>
      <c r="Q6" s="12">
        <v>32391</v>
      </c>
      <c r="R6" s="19">
        <v>75520</v>
      </c>
      <c r="S6" s="19">
        <v>98265</v>
      </c>
      <c r="T6" s="19">
        <v>41724</v>
      </c>
      <c r="U6" s="19">
        <v>8094</v>
      </c>
      <c r="V6" s="19">
        <v>129905</v>
      </c>
      <c r="W6" s="19">
        <v>52000</v>
      </c>
      <c r="X6" s="19">
        <v>42450</v>
      </c>
      <c r="Y6" s="19">
        <v>60055</v>
      </c>
      <c r="Z6" s="19">
        <v>31032</v>
      </c>
      <c r="AA6" s="19">
        <v>61153</v>
      </c>
      <c r="AB6" s="19">
        <v>49025</v>
      </c>
      <c r="AC6" s="19">
        <v>104457</v>
      </c>
      <c r="AD6" s="19">
        <v>47878</v>
      </c>
      <c r="AE6" s="19">
        <v>75690</v>
      </c>
      <c r="AF6" s="19">
        <v>44646</v>
      </c>
      <c r="AG6" s="19">
        <v>42761</v>
      </c>
      <c r="AH6" s="19">
        <v>33495</v>
      </c>
      <c r="AI6" s="19">
        <v>62976</v>
      </c>
      <c r="AJ6" s="19">
        <v>70638</v>
      </c>
      <c r="AK6" s="19">
        <v>34282</v>
      </c>
      <c r="AL6" s="20">
        <v>59042</v>
      </c>
      <c r="AM6">
        <v>22338</v>
      </c>
      <c r="AN6" s="13">
        <v>114039</v>
      </c>
      <c r="AO6" s="13">
        <v>80251</v>
      </c>
      <c r="AP6" s="13">
        <v>35398</v>
      </c>
      <c r="AQ6" s="14">
        <v>115419</v>
      </c>
      <c r="AR6" s="1">
        <v>69992</v>
      </c>
      <c r="AS6" s="1">
        <v>68241</v>
      </c>
      <c r="AT6" s="1">
        <v>41895</v>
      </c>
      <c r="AU6" s="1">
        <v>66619</v>
      </c>
      <c r="AV6" s="1">
        <v>135098</v>
      </c>
    </row>
    <row r="7" spans="1:50" x14ac:dyDescent="0.35">
      <c r="A7" s="15" t="s">
        <v>36</v>
      </c>
      <c r="B7" s="16" t="s">
        <v>37</v>
      </c>
      <c r="C7" s="17">
        <v>38344.6</v>
      </c>
      <c r="D7" s="12">
        <v>39979.4</v>
      </c>
      <c r="E7" s="12" t="s">
        <v>38</v>
      </c>
      <c r="F7" s="12">
        <v>49403.9</v>
      </c>
      <c r="G7" s="12">
        <v>37240.5</v>
      </c>
      <c r="H7" s="12">
        <v>51496</v>
      </c>
      <c r="I7" s="12">
        <v>37137</v>
      </c>
      <c r="J7" s="12">
        <v>49941</v>
      </c>
      <c r="K7" s="12">
        <v>44064.7</v>
      </c>
      <c r="L7" s="12">
        <v>30768.400000000001</v>
      </c>
      <c r="M7" s="12">
        <v>44914.3</v>
      </c>
      <c r="N7" s="12">
        <v>33324</v>
      </c>
      <c r="O7" s="12">
        <v>21313.4</v>
      </c>
      <c r="P7" s="12">
        <v>18397.599999999999</v>
      </c>
      <c r="Q7" s="12">
        <v>37759</v>
      </c>
      <c r="R7" s="12">
        <v>39442.6</v>
      </c>
      <c r="S7" s="12">
        <v>39637</v>
      </c>
      <c r="T7" s="12">
        <v>46109</v>
      </c>
      <c r="U7" s="12">
        <v>40089.199999999997</v>
      </c>
      <c r="V7" s="12">
        <v>13609.1</v>
      </c>
      <c r="W7" s="12">
        <v>26345.9</v>
      </c>
      <c r="X7" s="12">
        <v>26974.2</v>
      </c>
      <c r="Y7" s="12">
        <v>29469</v>
      </c>
      <c r="Z7" s="12">
        <v>30902.6</v>
      </c>
      <c r="AA7" s="12">
        <v>27437.8</v>
      </c>
      <c r="AB7" s="12">
        <v>40235.599999999999</v>
      </c>
      <c r="AC7" s="12">
        <v>24217</v>
      </c>
      <c r="AD7" s="12">
        <v>43005</v>
      </c>
      <c r="AE7" s="12">
        <v>30774.5</v>
      </c>
      <c r="AF7" s="12">
        <v>28163.7</v>
      </c>
      <c r="AG7" s="12">
        <v>19995.8</v>
      </c>
      <c r="AH7" s="12">
        <v>16573.7</v>
      </c>
      <c r="AI7" s="12">
        <v>26565.200000000001</v>
      </c>
      <c r="AJ7" s="12">
        <v>24034</v>
      </c>
      <c r="AK7" s="12">
        <v>23948.6</v>
      </c>
      <c r="AL7" s="14">
        <v>37643.1</v>
      </c>
      <c r="AM7" s="14">
        <v>23899</v>
      </c>
      <c r="AN7" s="14">
        <v>51435.199999999997</v>
      </c>
      <c r="AO7" s="13"/>
      <c r="AP7" s="13"/>
      <c r="AQ7" s="14">
        <v>60188.7</v>
      </c>
      <c r="AR7" s="14">
        <v>64775.9</v>
      </c>
      <c r="AS7" s="14">
        <v>34898</v>
      </c>
      <c r="AT7" s="14">
        <v>57767</v>
      </c>
      <c r="AU7" s="14">
        <v>54222.9</v>
      </c>
      <c r="AV7" s="1">
        <v>26376.3</v>
      </c>
      <c r="AW7" s="1">
        <v>45804.9</v>
      </c>
    </row>
    <row r="8" spans="1:50" x14ac:dyDescent="0.35">
      <c r="A8" s="15" t="s">
        <v>39</v>
      </c>
      <c r="B8" s="16" t="s">
        <v>40</v>
      </c>
      <c r="C8" s="17">
        <v>54715.71</v>
      </c>
      <c r="D8" s="12">
        <v>114356.59</v>
      </c>
      <c r="E8" s="12">
        <v>96905.5</v>
      </c>
      <c r="F8" s="12">
        <v>73361.7</v>
      </c>
      <c r="G8" s="12">
        <v>74661.259999999995</v>
      </c>
      <c r="H8" s="12">
        <v>76508.55</v>
      </c>
      <c r="I8" s="12">
        <v>94736.76</v>
      </c>
      <c r="J8" s="12">
        <v>63697.89</v>
      </c>
      <c r="K8" s="12">
        <v>61587.42</v>
      </c>
      <c r="L8" s="12">
        <v>81650.02</v>
      </c>
      <c r="M8" s="12">
        <v>69814.070000000007</v>
      </c>
      <c r="N8" s="12">
        <v>69534.240000000005</v>
      </c>
      <c r="O8" s="12">
        <v>77723.69</v>
      </c>
      <c r="P8" s="12">
        <v>95537.97</v>
      </c>
      <c r="Q8" s="12">
        <v>55411.32</v>
      </c>
      <c r="R8" s="12">
        <v>110084.34</v>
      </c>
      <c r="S8" s="12">
        <v>48288.480000000003</v>
      </c>
      <c r="T8" s="12">
        <v>75008.179999999993</v>
      </c>
      <c r="U8" s="12">
        <v>62904</v>
      </c>
      <c r="V8" s="12">
        <v>86026</v>
      </c>
      <c r="W8" s="12">
        <v>56618</v>
      </c>
      <c r="X8" s="12">
        <v>68533</v>
      </c>
      <c r="Y8" s="12">
        <v>47616.6</v>
      </c>
      <c r="Z8" s="12">
        <v>74997</v>
      </c>
      <c r="AA8" s="12">
        <v>128616</v>
      </c>
      <c r="AB8" s="12">
        <v>108443</v>
      </c>
      <c r="AC8" s="12">
        <v>139483.82</v>
      </c>
      <c r="AD8" s="12">
        <v>156865.16</v>
      </c>
      <c r="AE8" s="12">
        <v>126141.9</v>
      </c>
      <c r="AF8" s="12">
        <v>314851.5</v>
      </c>
      <c r="AG8" s="12">
        <v>447931</v>
      </c>
      <c r="AH8" s="12">
        <v>309395.65999999997</v>
      </c>
      <c r="AI8" s="12">
        <v>336534.56</v>
      </c>
      <c r="AJ8" s="12">
        <v>295679.2</v>
      </c>
      <c r="AK8" s="12">
        <v>280592</v>
      </c>
      <c r="AL8" s="14">
        <v>365914</v>
      </c>
      <c r="AM8" s="13"/>
      <c r="AN8" s="14"/>
      <c r="AO8" s="14"/>
      <c r="AP8" s="14"/>
      <c r="AQ8" s="1"/>
      <c r="AR8" s="14"/>
      <c r="AS8" s="1"/>
      <c r="AV8" s="14"/>
    </row>
    <row r="9" spans="1:50" x14ac:dyDescent="0.35">
      <c r="A9" s="15" t="s">
        <v>41</v>
      </c>
      <c r="B9" s="16" t="s">
        <v>37</v>
      </c>
      <c r="C9" s="17"/>
      <c r="D9" s="19"/>
      <c r="E9" s="19"/>
      <c r="F9" s="19"/>
      <c r="G9" s="19"/>
      <c r="H9" s="19"/>
      <c r="I9" s="19"/>
      <c r="J9" s="19"/>
      <c r="K9" s="19"/>
      <c r="L9" s="12">
        <v>16885</v>
      </c>
      <c r="M9" s="19"/>
      <c r="N9" s="12">
        <v>12090</v>
      </c>
      <c r="O9" s="19"/>
      <c r="P9" s="12">
        <v>16287</v>
      </c>
      <c r="Q9" s="19"/>
      <c r="R9" s="19"/>
      <c r="S9" s="12">
        <v>24437</v>
      </c>
      <c r="T9" s="19"/>
      <c r="U9" s="12">
        <v>13176</v>
      </c>
      <c r="V9" s="19"/>
      <c r="W9" s="12">
        <v>11370</v>
      </c>
      <c r="X9" s="19"/>
      <c r="Y9" s="19">
        <v>12663</v>
      </c>
      <c r="Z9" s="12">
        <v>9235</v>
      </c>
      <c r="AA9" s="12">
        <v>10358</v>
      </c>
      <c r="AB9" s="19"/>
      <c r="AC9" s="19">
        <v>11443</v>
      </c>
      <c r="AD9" s="19"/>
      <c r="AE9" s="12">
        <v>19142</v>
      </c>
      <c r="AF9" s="12">
        <v>26352</v>
      </c>
      <c r="AG9" s="19"/>
      <c r="AH9" s="19"/>
      <c r="AI9" s="12">
        <v>14786.4</v>
      </c>
      <c r="AJ9" s="19"/>
      <c r="AK9" s="19"/>
      <c r="AL9" s="14">
        <v>12663.6</v>
      </c>
      <c r="AM9" s="13">
        <v>4794.6000000000004</v>
      </c>
      <c r="AN9" s="13">
        <v>8125</v>
      </c>
      <c r="AO9" s="14">
        <v>14103.2</v>
      </c>
      <c r="AP9" s="13"/>
      <c r="AQ9" s="1"/>
      <c r="AR9" s="1">
        <v>11846.2</v>
      </c>
      <c r="AS9" s="14">
        <v>11016</v>
      </c>
      <c r="AT9" s="14">
        <v>15616</v>
      </c>
      <c r="AU9" s="14">
        <v>7283.4</v>
      </c>
      <c r="AV9" s="14">
        <v>9613.6</v>
      </c>
    </row>
    <row r="10" spans="1:50" ht="15.75" customHeight="1" x14ac:dyDescent="0.35">
      <c r="A10" s="15" t="s">
        <v>42</v>
      </c>
      <c r="B10" s="16" t="s">
        <v>43</v>
      </c>
      <c r="C10" s="10">
        <v>23014</v>
      </c>
      <c r="D10" s="11">
        <v>11067</v>
      </c>
      <c r="E10" s="11">
        <v>14130</v>
      </c>
      <c r="F10" s="11">
        <v>14785</v>
      </c>
      <c r="G10" s="11">
        <v>14877</v>
      </c>
      <c r="H10" s="11">
        <v>16381</v>
      </c>
      <c r="I10" s="11">
        <v>21339</v>
      </c>
      <c r="J10" s="11">
        <v>11171</v>
      </c>
      <c r="K10" s="11"/>
      <c r="L10" s="11"/>
      <c r="M10" s="11"/>
      <c r="N10" s="11"/>
      <c r="O10" s="11"/>
      <c r="P10" s="11"/>
      <c r="Q10" s="11"/>
      <c r="R10" s="11"/>
      <c r="S10" s="12"/>
      <c r="T10" s="12"/>
      <c r="U10" s="12"/>
      <c r="V10" s="12"/>
      <c r="W10" s="12"/>
      <c r="X10" s="12"/>
      <c r="Y10" s="12"/>
      <c r="Z10" s="12"/>
      <c r="AA10" s="19"/>
      <c r="AB10" s="12"/>
      <c r="AC10" s="19"/>
      <c r="AD10" s="12"/>
      <c r="AE10" s="12"/>
      <c r="AF10" s="12"/>
      <c r="AG10" s="12"/>
      <c r="AH10" s="12"/>
      <c r="AI10" s="12"/>
      <c r="AJ10" s="12"/>
      <c r="AK10" s="12"/>
      <c r="AL10" s="20"/>
      <c r="AM10" s="14"/>
      <c r="AN10" s="14"/>
      <c r="AO10" s="14"/>
      <c r="AP10" s="14"/>
      <c r="AQ10" s="1"/>
      <c r="AR10" s="14"/>
      <c r="AS10" s="14"/>
      <c r="AT10" s="14"/>
      <c r="AU10" s="14"/>
      <c r="AV10" s="14"/>
    </row>
    <row r="11" spans="1:50" x14ac:dyDescent="0.35">
      <c r="A11" s="15" t="s">
        <v>44</v>
      </c>
      <c r="B11" s="16" t="s">
        <v>45</v>
      </c>
      <c r="C11" s="10">
        <v>41645</v>
      </c>
      <c r="D11" s="11">
        <v>60073</v>
      </c>
      <c r="E11" s="11">
        <v>49325</v>
      </c>
      <c r="F11" s="11">
        <v>54590</v>
      </c>
      <c r="G11" s="11">
        <v>49142</v>
      </c>
      <c r="H11" s="11">
        <v>55083</v>
      </c>
      <c r="I11" s="11">
        <v>59384</v>
      </c>
      <c r="J11" s="11">
        <v>48355</v>
      </c>
      <c r="K11" s="11">
        <v>42468</v>
      </c>
      <c r="L11" s="11">
        <v>51948</v>
      </c>
      <c r="M11" s="11">
        <v>43853</v>
      </c>
      <c r="N11" s="11">
        <v>64745</v>
      </c>
      <c r="O11" s="11">
        <v>41736</v>
      </c>
      <c r="P11" s="11">
        <v>28030</v>
      </c>
      <c r="Q11" s="11">
        <v>54192</v>
      </c>
      <c r="R11" s="11">
        <v>58456</v>
      </c>
      <c r="S11" s="12">
        <v>46586</v>
      </c>
      <c r="T11" s="12">
        <v>59030</v>
      </c>
      <c r="U11" s="12">
        <v>37283</v>
      </c>
      <c r="V11" s="12">
        <v>47062</v>
      </c>
      <c r="W11" s="12">
        <v>54125</v>
      </c>
      <c r="X11" s="12">
        <v>58578</v>
      </c>
      <c r="Y11" s="12">
        <v>59121</v>
      </c>
      <c r="Z11" s="12">
        <v>45238</v>
      </c>
      <c r="AA11" s="19">
        <v>69052</v>
      </c>
      <c r="AB11" s="12">
        <v>33751.300000000003</v>
      </c>
      <c r="AC11" s="19">
        <v>73553.8</v>
      </c>
      <c r="AD11" s="12">
        <v>63208.2</v>
      </c>
      <c r="AE11" s="12">
        <v>35702.080000000002</v>
      </c>
      <c r="AF11" s="12">
        <v>31471.119999999999</v>
      </c>
      <c r="AG11" s="12">
        <v>53164</v>
      </c>
      <c r="AH11" s="12">
        <v>37680.92</v>
      </c>
      <c r="AI11" s="12">
        <v>41740</v>
      </c>
      <c r="AJ11" s="12">
        <v>17984.02</v>
      </c>
      <c r="AK11" s="12">
        <v>62180.959999999999</v>
      </c>
      <c r="AL11" s="20">
        <v>51911</v>
      </c>
      <c r="AM11" s="14">
        <v>40769.96</v>
      </c>
      <c r="AN11" s="14">
        <v>69095.92</v>
      </c>
      <c r="AO11" s="14">
        <v>40920.019999999997</v>
      </c>
      <c r="AP11" s="14">
        <v>47545.84</v>
      </c>
      <c r="AQ11" s="1">
        <v>46336.82</v>
      </c>
      <c r="AR11" s="14">
        <v>38448.300000000003</v>
      </c>
      <c r="AS11" s="14">
        <v>52730.84</v>
      </c>
      <c r="AT11" s="14">
        <v>41303.1</v>
      </c>
      <c r="AU11" s="14">
        <v>27662.28</v>
      </c>
      <c r="AV11" s="14">
        <v>51035.040000000001</v>
      </c>
    </row>
    <row r="12" spans="1:50" x14ac:dyDescent="0.35">
      <c r="A12" s="15" t="s">
        <v>46</v>
      </c>
      <c r="B12" s="16" t="s">
        <v>45</v>
      </c>
      <c r="C12" s="17">
        <v>4390</v>
      </c>
      <c r="D12" s="19"/>
      <c r="E12" s="19"/>
      <c r="F12" s="19"/>
      <c r="G12" s="12">
        <v>5228</v>
      </c>
      <c r="H12" s="19"/>
      <c r="I12" s="19"/>
      <c r="J12" s="12">
        <v>3922</v>
      </c>
      <c r="K12" s="19"/>
      <c r="L12" s="19"/>
      <c r="M12" s="19"/>
      <c r="N12" s="12">
        <v>3555</v>
      </c>
      <c r="O12" s="19"/>
      <c r="P12" s="19"/>
      <c r="Q12" s="12">
        <v>3953</v>
      </c>
      <c r="R12" s="19"/>
      <c r="S12" s="19"/>
      <c r="T12" s="19"/>
      <c r="U12" s="12">
        <v>3466</v>
      </c>
      <c r="V12" s="19"/>
      <c r="W12" s="19"/>
      <c r="X12" s="12">
        <v>4990</v>
      </c>
      <c r="Y12" s="19"/>
      <c r="Z12" s="19"/>
      <c r="AA12" s="12">
        <v>8734</v>
      </c>
      <c r="AB12" s="19"/>
      <c r="AC12" s="12">
        <v>12353</v>
      </c>
      <c r="AD12" s="19"/>
      <c r="AE12" s="19"/>
      <c r="AF12" s="12">
        <v>20686</v>
      </c>
      <c r="AG12" s="19"/>
      <c r="AH12" s="12">
        <v>3755</v>
      </c>
      <c r="AI12" s="19"/>
      <c r="AJ12" s="12">
        <v>12481</v>
      </c>
      <c r="AK12" s="19"/>
      <c r="AL12" s="13"/>
      <c r="AM12" s="14">
        <v>7260.22</v>
      </c>
      <c r="AN12" s="13"/>
      <c r="AO12" s="14">
        <v>10544</v>
      </c>
      <c r="AP12" s="13"/>
      <c r="AQ12" s="14">
        <v>13701</v>
      </c>
      <c r="AR12" s="14">
        <v>13428</v>
      </c>
      <c r="AS12" s="14">
        <v>15980</v>
      </c>
      <c r="AT12" s="14">
        <v>11559</v>
      </c>
      <c r="AU12" s="14">
        <v>28306</v>
      </c>
      <c r="AV12" s="1">
        <v>23966</v>
      </c>
    </row>
    <row r="13" spans="1:50" x14ac:dyDescent="0.35">
      <c r="A13" s="15" t="s">
        <v>47</v>
      </c>
      <c r="B13" s="16" t="s">
        <v>45</v>
      </c>
      <c r="C13" s="10">
        <v>11248.4</v>
      </c>
      <c r="D13" s="11">
        <v>14973.06</v>
      </c>
      <c r="E13" s="11">
        <v>20122.68</v>
      </c>
      <c r="F13" s="11">
        <v>7905.6</v>
      </c>
      <c r="G13" s="11">
        <v>12087.76</v>
      </c>
      <c r="H13" s="11">
        <v>31855.42</v>
      </c>
      <c r="I13" s="21"/>
      <c r="J13" s="11">
        <v>7034.52</v>
      </c>
      <c r="K13" s="11">
        <v>16409</v>
      </c>
      <c r="L13" s="11">
        <v>26330</v>
      </c>
      <c r="M13" s="11">
        <v>10190</v>
      </c>
      <c r="N13" s="12">
        <v>19029.560000000001</v>
      </c>
      <c r="O13" s="12">
        <v>20325.2</v>
      </c>
      <c r="P13" s="12">
        <v>7093.08</v>
      </c>
      <c r="Q13" s="12">
        <v>29181.18</v>
      </c>
      <c r="R13" s="19"/>
      <c r="S13" s="12">
        <v>463</v>
      </c>
      <c r="T13" s="12">
        <v>9645.32</v>
      </c>
      <c r="U13" s="12">
        <v>18979.54</v>
      </c>
      <c r="V13" s="12">
        <v>15572.08</v>
      </c>
      <c r="W13" s="12">
        <v>5602.24</v>
      </c>
      <c r="X13" s="19">
        <v>7183.36</v>
      </c>
      <c r="Y13" s="19">
        <v>11204.48</v>
      </c>
      <c r="Z13" s="19"/>
      <c r="AA13" s="12"/>
      <c r="AB13" s="19"/>
      <c r="AC13" s="12"/>
      <c r="AD13" s="19"/>
      <c r="AE13" s="19"/>
      <c r="AF13" s="12"/>
      <c r="AG13" s="19"/>
      <c r="AH13" s="12"/>
      <c r="AI13" s="19"/>
      <c r="AJ13" s="12"/>
      <c r="AK13" s="19"/>
      <c r="AL13" s="13"/>
      <c r="AM13" s="14"/>
      <c r="AN13" s="13"/>
      <c r="AO13" s="14"/>
      <c r="AP13" s="13"/>
      <c r="AQ13" s="14"/>
      <c r="AR13" s="14"/>
      <c r="AS13" s="14"/>
      <c r="AT13" s="14"/>
      <c r="AU13" s="14"/>
    </row>
    <row r="14" spans="1:50" x14ac:dyDescent="0.35">
      <c r="A14" s="15" t="s">
        <v>48</v>
      </c>
      <c r="B14" s="16" t="s">
        <v>45</v>
      </c>
      <c r="C14" s="10"/>
      <c r="D14" s="21"/>
      <c r="E14" s="21"/>
      <c r="F14" s="21"/>
      <c r="G14" s="21"/>
      <c r="H14" s="21"/>
      <c r="I14" s="11">
        <v>2006</v>
      </c>
      <c r="J14" s="21"/>
      <c r="K14" s="11">
        <v>1381</v>
      </c>
      <c r="L14" s="11">
        <v>3089</v>
      </c>
      <c r="M14" s="11">
        <v>4599</v>
      </c>
      <c r="N14" s="21"/>
      <c r="O14" s="21"/>
      <c r="P14" s="21"/>
      <c r="Q14" s="11">
        <v>3224.46</v>
      </c>
      <c r="R14" s="21"/>
      <c r="S14" s="21"/>
      <c r="T14" s="11">
        <v>1739</v>
      </c>
      <c r="U14" s="21"/>
      <c r="V14" s="11">
        <v>9849.92</v>
      </c>
      <c r="W14" s="21"/>
      <c r="X14" s="21"/>
      <c r="Y14" s="21"/>
      <c r="Z14" s="21"/>
      <c r="AA14" s="10">
        <v>6994</v>
      </c>
      <c r="AB14" s="12">
        <v>12795.36</v>
      </c>
      <c r="AC14" s="19"/>
      <c r="AD14" s="19"/>
      <c r="AE14" s="19"/>
      <c r="AF14" s="19"/>
      <c r="AG14" s="19"/>
      <c r="AH14" s="19"/>
      <c r="AI14" s="19"/>
      <c r="AJ14" s="19"/>
      <c r="AK14" s="19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35">
      <c r="A15" s="23" t="s">
        <v>49</v>
      </c>
      <c r="B15" s="16" t="s">
        <v>45</v>
      </c>
      <c r="C15" s="10"/>
      <c r="D15" s="11">
        <v>22374.799999999999</v>
      </c>
      <c r="E15" s="11">
        <v>15176.8</v>
      </c>
      <c r="F15" s="11">
        <v>7618.9</v>
      </c>
      <c r="G15" s="11">
        <v>12913.7</v>
      </c>
      <c r="H15" s="11">
        <v>10540.8</v>
      </c>
      <c r="I15" s="11">
        <v>6026.8</v>
      </c>
      <c r="J15" s="11">
        <v>3025.6</v>
      </c>
      <c r="K15" s="11">
        <v>10321.200000000001</v>
      </c>
      <c r="L15" s="11">
        <v>7320</v>
      </c>
      <c r="M15" s="11">
        <v>13920.2</v>
      </c>
      <c r="N15" s="11">
        <v>8750.2000000000007</v>
      </c>
      <c r="O15" s="11">
        <v>13712.8</v>
      </c>
      <c r="P15" s="11">
        <v>18794.099999999999</v>
      </c>
      <c r="Q15" s="11">
        <v>17592.400000000001</v>
      </c>
      <c r="R15" s="11">
        <v>14079</v>
      </c>
      <c r="S15" s="11">
        <v>8113</v>
      </c>
      <c r="T15" s="11">
        <v>9686</v>
      </c>
      <c r="U15" s="11">
        <v>17568</v>
      </c>
      <c r="V15" s="11">
        <v>25699.3</v>
      </c>
      <c r="W15" s="11">
        <v>5953.6</v>
      </c>
      <c r="X15" s="11">
        <v>26840</v>
      </c>
      <c r="Y15" s="11">
        <v>13151.6</v>
      </c>
      <c r="Z15" s="11">
        <v>26718</v>
      </c>
      <c r="AA15" s="10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35">
      <c r="A16" s="15" t="s">
        <v>50</v>
      </c>
      <c r="B16" s="16" t="s">
        <v>30</v>
      </c>
      <c r="C16" s="10"/>
      <c r="D16" s="21"/>
      <c r="E16" s="21"/>
      <c r="F16" s="21"/>
      <c r="G16" s="21"/>
      <c r="H16" s="21"/>
      <c r="I16" s="11">
        <v>44586</v>
      </c>
      <c r="J16" s="19"/>
      <c r="K16" s="19"/>
      <c r="L16" s="19"/>
      <c r="M16" s="19"/>
      <c r="N16" s="19"/>
      <c r="O16" s="19"/>
      <c r="P16" s="19"/>
      <c r="Q16" s="19"/>
      <c r="R16" s="19">
        <v>43165</v>
      </c>
      <c r="S16" s="19"/>
      <c r="T16" s="19"/>
      <c r="U16" s="19"/>
      <c r="V16" s="19"/>
      <c r="W16" s="19"/>
      <c r="X16" s="19"/>
      <c r="Y16" s="19">
        <v>46002</v>
      </c>
      <c r="Z16" s="19"/>
      <c r="AA16" s="19"/>
      <c r="AB16" s="19"/>
      <c r="AC16" s="19"/>
      <c r="AD16" s="19"/>
      <c r="AE16" s="19">
        <v>11800</v>
      </c>
      <c r="AF16" s="19"/>
      <c r="AG16" s="19"/>
      <c r="AH16" s="19"/>
      <c r="AI16" s="19"/>
      <c r="AJ16" s="19"/>
      <c r="AK16" s="19"/>
      <c r="AP16" s="24">
        <v>36920</v>
      </c>
      <c r="AQ16" s="24"/>
      <c r="AR16" s="24"/>
      <c r="AS16" s="24"/>
      <c r="AT16" s="24">
        <v>47210</v>
      </c>
      <c r="AU16" s="24"/>
      <c r="AV16" s="24"/>
      <c r="AW16" s="24"/>
      <c r="AX16" s="24"/>
    </row>
    <row r="17" spans="1:76" x14ac:dyDescent="0.35">
      <c r="A17" s="15" t="s">
        <v>51</v>
      </c>
      <c r="B17" s="16" t="s">
        <v>52</v>
      </c>
      <c r="C17" s="17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 t="s">
        <v>34</v>
      </c>
      <c r="Y17" s="19" t="s">
        <v>34</v>
      </c>
      <c r="Z17" s="19" t="s">
        <v>34</v>
      </c>
      <c r="AA17" s="19" t="s">
        <v>34</v>
      </c>
      <c r="AB17" s="19" t="s">
        <v>34</v>
      </c>
      <c r="AC17" s="19">
        <v>10334.969999999999</v>
      </c>
      <c r="AD17" s="12">
        <v>16346.62</v>
      </c>
      <c r="AE17" s="12">
        <v>20143.79</v>
      </c>
      <c r="AF17" s="12">
        <v>10456.77</v>
      </c>
      <c r="AG17" s="12">
        <v>29600</v>
      </c>
      <c r="AH17" s="12">
        <v>26679.55</v>
      </c>
      <c r="AI17" s="12">
        <v>11589.52</v>
      </c>
      <c r="AJ17" s="12">
        <v>11055.7</v>
      </c>
      <c r="AK17" s="12">
        <v>15359.8</v>
      </c>
      <c r="AL17" s="14">
        <v>9897</v>
      </c>
      <c r="AM17" s="14">
        <v>20125</v>
      </c>
      <c r="AN17" s="14">
        <v>13170</v>
      </c>
      <c r="AO17" s="25">
        <v>8903</v>
      </c>
      <c r="AP17" s="14">
        <v>12600</v>
      </c>
      <c r="AQ17" s="14">
        <v>25567</v>
      </c>
      <c r="AR17" s="14">
        <v>10556</v>
      </c>
      <c r="AS17" s="14">
        <v>16900</v>
      </c>
      <c r="AT17" s="14">
        <v>18991</v>
      </c>
      <c r="AU17" s="14">
        <v>18991</v>
      </c>
      <c r="AV17" s="14">
        <v>12025</v>
      </c>
      <c r="AW17" s="14">
        <v>45572</v>
      </c>
    </row>
    <row r="18" spans="1:76" x14ac:dyDescent="0.35">
      <c r="A18" s="15" t="s">
        <v>53</v>
      </c>
      <c r="B18" s="16"/>
      <c r="C18" s="17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3"/>
      <c r="AM18" s="14">
        <v>900</v>
      </c>
      <c r="AN18" s="13"/>
      <c r="AO18" s="13"/>
      <c r="AP18" s="13"/>
      <c r="AQ18" s="1"/>
      <c r="AS18" s="1"/>
      <c r="AU18" s="1">
        <v>100</v>
      </c>
      <c r="AV18" s="1">
        <v>600</v>
      </c>
    </row>
    <row r="19" spans="1:76" x14ac:dyDescent="0.35">
      <c r="A19" s="15" t="s">
        <v>54</v>
      </c>
      <c r="B19" s="16" t="s">
        <v>55</v>
      </c>
      <c r="C19" s="17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 t="s">
        <v>34</v>
      </c>
      <c r="AG19" s="19" t="s">
        <v>34</v>
      </c>
      <c r="AH19" s="19" t="s">
        <v>34</v>
      </c>
      <c r="AI19" s="19" t="s">
        <v>34</v>
      </c>
      <c r="AJ19" s="19" t="s">
        <v>34</v>
      </c>
      <c r="AK19" s="19" t="s">
        <v>34</v>
      </c>
      <c r="AL19" s="19" t="s">
        <v>34</v>
      </c>
      <c r="AM19" s="19" t="s">
        <v>34</v>
      </c>
      <c r="AN19" s="14">
        <v>88100</v>
      </c>
      <c r="AO19" s="14">
        <v>50783</v>
      </c>
      <c r="AP19" s="14">
        <v>69013</v>
      </c>
      <c r="AQ19" s="14">
        <v>87802</v>
      </c>
      <c r="AR19" s="14">
        <v>129576</v>
      </c>
      <c r="AS19" s="14">
        <v>62412</v>
      </c>
      <c r="AT19" s="14">
        <v>114501</v>
      </c>
      <c r="AU19" s="14">
        <v>94820</v>
      </c>
      <c r="AV19" s="14">
        <v>52072</v>
      </c>
      <c r="AW19" s="14">
        <v>90831</v>
      </c>
    </row>
    <row r="20" spans="1:76" ht="15" thickBot="1" x14ac:dyDescent="0.4">
      <c r="A20" s="26" t="s">
        <v>56</v>
      </c>
      <c r="B20" s="27"/>
      <c r="C20" s="17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 t="s">
        <v>34</v>
      </c>
      <c r="AG20" s="19" t="s">
        <v>34</v>
      </c>
      <c r="AH20" s="19" t="s">
        <v>34</v>
      </c>
      <c r="AI20" s="19" t="s">
        <v>34</v>
      </c>
      <c r="AJ20" s="19" t="s">
        <v>34</v>
      </c>
      <c r="AK20" s="19" t="s">
        <v>34</v>
      </c>
      <c r="AL20" s="19" t="s">
        <v>34</v>
      </c>
      <c r="AM20" s="19" t="s">
        <v>34</v>
      </c>
      <c r="AN20" s="19" t="s">
        <v>34</v>
      </c>
      <c r="AO20" s="19" t="s">
        <v>34</v>
      </c>
      <c r="AP20" s="19" t="s">
        <v>34</v>
      </c>
      <c r="AQ20" s="19" t="s">
        <v>34</v>
      </c>
      <c r="AR20" s="19" t="s">
        <v>34</v>
      </c>
      <c r="AS20" s="19" t="s">
        <v>34</v>
      </c>
      <c r="AT20" s="14">
        <v>5334</v>
      </c>
      <c r="AU20" s="14">
        <v>7851</v>
      </c>
      <c r="AV20" s="14">
        <v>6925</v>
      </c>
      <c r="AW20" s="14"/>
    </row>
    <row r="21" spans="1:76" s="28" customFormat="1" x14ac:dyDescent="0.35">
      <c r="B21" s="29"/>
      <c r="C21" s="30">
        <f t="shared" ref="C21:AI21" si="0">SUM(C2:C20)</f>
        <v>875031.71</v>
      </c>
      <c r="D21" s="30">
        <f t="shared" si="0"/>
        <v>1308942.8500000001</v>
      </c>
      <c r="E21" s="30">
        <f t="shared" si="0"/>
        <v>1033142.9800000001</v>
      </c>
      <c r="F21" s="30">
        <f t="shared" si="0"/>
        <v>1183730.1000000001</v>
      </c>
      <c r="G21" s="30">
        <f t="shared" si="0"/>
        <v>1210761.22</v>
      </c>
      <c r="H21" s="30">
        <f t="shared" si="0"/>
        <v>1083978.77</v>
      </c>
      <c r="I21" s="30">
        <f t="shared" si="0"/>
        <v>1082193.56</v>
      </c>
      <c r="J21" s="30">
        <f t="shared" si="0"/>
        <v>979982.01</v>
      </c>
      <c r="K21" s="30">
        <f t="shared" si="0"/>
        <v>881631.32</v>
      </c>
      <c r="L21" s="30">
        <f t="shared" si="0"/>
        <v>970585.42</v>
      </c>
      <c r="M21" s="30">
        <f t="shared" si="0"/>
        <v>881472.57000000007</v>
      </c>
      <c r="N21" s="30">
        <f t="shared" si="0"/>
        <v>986620</v>
      </c>
      <c r="O21" s="30">
        <f t="shared" si="0"/>
        <v>890180.09000000008</v>
      </c>
      <c r="P21" s="30">
        <f t="shared" si="0"/>
        <v>883165.74999999988</v>
      </c>
      <c r="Q21" s="30">
        <f t="shared" si="0"/>
        <v>959192.36</v>
      </c>
      <c r="R21" s="30">
        <f t="shared" si="0"/>
        <v>1299268.9400000002</v>
      </c>
      <c r="S21" s="30">
        <f t="shared" si="0"/>
        <v>1126603.48</v>
      </c>
      <c r="T21" s="30">
        <f t="shared" si="0"/>
        <v>1182877.5</v>
      </c>
      <c r="U21" s="30">
        <f t="shared" si="0"/>
        <v>1062765.74</v>
      </c>
      <c r="V21" s="30">
        <f t="shared" si="0"/>
        <v>952177.4</v>
      </c>
      <c r="W21" s="30">
        <f t="shared" si="0"/>
        <v>971927.74</v>
      </c>
      <c r="X21" s="30">
        <f t="shared" si="0"/>
        <v>1063991.56</v>
      </c>
      <c r="Y21" s="30">
        <f t="shared" si="0"/>
        <v>1014832.6799999999</v>
      </c>
      <c r="Z21" s="30">
        <f t="shared" si="0"/>
        <v>1160521.6000000001</v>
      </c>
      <c r="AA21" s="30">
        <f t="shared" si="0"/>
        <v>1189961.8</v>
      </c>
      <c r="AB21" s="30">
        <f t="shared" si="0"/>
        <v>1028507.26</v>
      </c>
      <c r="AC21" s="30">
        <f t="shared" si="0"/>
        <v>1246167.5900000001</v>
      </c>
      <c r="AD21" s="31">
        <f t="shared" si="0"/>
        <v>1569590.98</v>
      </c>
      <c r="AE21" s="31">
        <f t="shared" si="0"/>
        <v>1042547.27</v>
      </c>
      <c r="AF21" s="31">
        <f t="shared" si="0"/>
        <v>1013190.09</v>
      </c>
      <c r="AG21" s="31">
        <f t="shared" si="0"/>
        <v>1297734.8</v>
      </c>
      <c r="AH21" s="31">
        <f t="shared" si="0"/>
        <v>883821.83000000007</v>
      </c>
      <c r="AI21" s="31">
        <f t="shared" si="0"/>
        <v>958859.68</v>
      </c>
      <c r="AJ21" s="31"/>
      <c r="AK21" s="31"/>
      <c r="AL21" s="31">
        <f>SUM(AL2:AL20)</f>
        <v>975052.7</v>
      </c>
      <c r="AM21" s="31">
        <f t="shared" ref="AM21:AP21" si="1">SUM(AM2:AM20)</f>
        <v>756838.77999999991</v>
      </c>
      <c r="AN21" s="31">
        <f t="shared" si="1"/>
        <v>1263777.1199999999</v>
      </c>
      <c r="AO21" s="31">
        <f t="shared" si="1"/>
        <v>883337.22</v>
      </c>
      <c r="AP21" s="31">
        <f t="shared" si="1"/>
        <v>1151652.8399999999</v>
      </c>
      <c r="AS21" s="29"/>
    </row>
    <row r="22" spans="1:76" x14ac:dyDescent="0.35">
      <c r="AL22" s="34">
        <f>AVERAGE(AL21:AO21)</f>
        <v>969751.45499999984</v>
      </c>
      <c r="AM22" s="34"/>
      <c r="AN22" s="34"/>
      <c r="AO22" s="34"/>
    </row>
    <row r="23" spans="1:76" x14ac:dyDescent="0.35">
      <c r="A23" s="1" t="s">
        <v>57</v>
      </c>
      <c r="C23" s="10"/>
      <c r="D23" s="21"/>
      <c r="E23" s="11">
        <v>3009</v>
      </c>
      <c r="F23" s="11">
        <v>1818.9</v>
      </c>
      <c r="G23" s="11">
        <v>1559.95</v>
      </c>
      <c r="H23" s="11">
        <v>8255.6</v>
      </c>
      <c r="I23" s="11">
        <v>4823.6400000000003</v>
      </c>
      <c r="J23" s="11">
        <v>3778.85</v>
      </c>
      <c r="K23" s="11">
        <v>4127.8</v>
      </c>
      <c r="L23" s="11">
        <v>10718.23</v>
      </c>
      <c r="M23" s="11">
        <v>11618</v>
      </c>
      <c r="N23" s="11">
        <v>12856</v>
      </c>
      <c r="O23" s="11">
        <v>8196.67</v>
      </c>
      <c r="P23" s="11">
        <v>2233.2600000000002</v>
      </c>
      <c r="Q23" s="11">
        <v>1652.97</v>
      </c>
      <c r="R23" s="11">
        <v>995.98</v>
      </c>
      <c r="S23" s="11">
        <v>1184.98</v>
      </c>
      <c r="T23" s="11">
        <v>1124.98</v>
      </c>
      <c r="U23" s="11">
        <v>2966.95</v>
      </c>
      <c r="V23" s="11">
        <v>4679.92</v>
      </c>
      <c r="W23" s="11">
        <v>4838.92</v>
      </c>
      <c r="X23" s="11">
        <v>3563.92</v>
      </c>
      <c r="Y23" s="11">
        <v>1133.98</v>
      </c>
    </row>
    <row r="24" spans="1:76" x14ac:dyDescent="0.35">
      <c r="A24" s="1" t="s">
        <v>58</v>
      </c>
      <c r="C24" s="10"/>
      <c r="D24" s="21"/>
      <c r="E24" s="11">
        <v>415.36</v>
      </c>
      <c r="F24" s="11">
        <v>703.74</v>
      </c>
      <c r="G24" s="21"/>
      <c r="H24" s="21"/>
      <c r="I24" s="11">
        <v>1253.8499999999999</v>
      </c>
      <c r="J24" s="11">
        <v>681</v>
      </c>
      <c r="K24" s="21"/>
      <c r="L24" s="21"/>
      <c r="M24" s="11">
        <v>237.52</v>
      </c>
      <c r="N24" s="11">
        <v>2446.66</v>
      </c>
      <c r="O24" s="21"/>
      <c r="P24" s="11">
        <v>2537.65</v>
      </c>
      <c r="Q24" s="11">
        <v>3344.69</v>
      </c>
      <c r="R24" s="11">
        <v>1425.69</v>
      </c>
      <c r="S24" s="11">
        <v>5276.25</v>
      </c>
      <c r="T24" s="11">
        <v>1287.1300000000001</v>
      </c>
      <c r="U24" s="21"/>
      <c r="V24" s="11">
        <v>534.91999999999996</v>
      </c>
      <c r="W24" s="11">
        <v>1913.55</v>
      </c>
      <c r="X24" s="11">
        <v>3760.61</v>
      </c>
      <c r="Y24" s="11">
        <v>2524.48</v>
      </c>
    </row>
    <row r="25" spans="1:76" x14ac:dyDescent="0.35">
      <c r="A25" s="1" t="s">
        <v>59</v>
      </c>
      <c r="C25" s="1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>
        <v>88771</v>
      </c>
      <c r="S25" s="21">
        <v>114745.98</v>
      </c>
      <c r="T25" s="21">
        <v>97905.68</v>
      </c>
      <c r="U25" s="21">
        <v>56436.29</v>
      </c>
      <c r="V25" s="21">
        <v>150105.54</v>
      </c>
      <c r="W25" s="21">
        <v>79458.62</v>
      </c>
      <c r="X25" s="21">
        <v>122744</v>
      </c>
    </row>
    <row r="26" spans="1:76" x14ac:dyDescent="0.35">
      <c r="A26" s="1" t="s">
        <v>60</v>
      </c>
      <c r="C26" s="1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>
        <v>20194.099999999999</v>
      </c>
      <c r="S26" s="21">
        <v>21085.18</v>
      </c>
      <c r="T26" s="21">
        <v>28740.799999999999</v>
      </c>
      <c r="U26" s="21">
        <v>12297.59</v>
      </c>
      <c r="V26" s="21">
        <v>20556.82</v>
      </c>
      <c r="W26" s="21">
        <v>21948.03</v>
      </c>
      <c r="X26" s="21">
        <v>23914.34</v>
      </c>
    </row>
    <row r="27" spans="1:76" s="39" customFormat="1" ht="15" customHeight="1" x14ac:dyDescent="0.35">
      <c r="A27" s="1" t="s">
        <v>61</v>
      </c>
      <c r="B27" s="35"/>
      <c r="C27" s="1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36">
        <v>113</v>
      </c>
      <c r="S27" s="36">
        <v>317</v>
      </c>
      <c r="T27" s="11">
        <v>1865</v>
      </c>
      <c r="U27" s="11">
        <v>486</v>
      </c>
      <c r="V27" s="11">
        <v>690</v>
      </c>
      <c r="W27" s="11">
        <v>763.72</v>
      </c>
      <c r="X27" s="11">
        <v>1047.98</v>
      </c>
      <c r="Y27" s="21"/>
      <c r="Z27" s="37"/>
      <c r="AA27" s="37"/>
      <c r="AB27" s="37"/>
      <c r="AC27" s="37"/>
      <c r="AD27" s="37"/>
      <c r="AE27" s="37"/>
      <c r="AF27" s="37"/>
      <c r="AG27" s="35"/>
      <c r="AH27" s="35"/>
      <c r="AI27" s="35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8"/>
      <c r="BI27" s="37"/>
      <c r="BJ27" s="37"/>
      <c r="BK27" s="37"/>
      <c r="BL27" s="37"/>
      <c r="BM27" s="37"/>
      <c r="BN27" s="38"/>
      <c r="BO27" s="38"/>
      <c r="BP27" s="38"/>
      <c r="BQ27" s="38"/>
      <c r="BR27" s="37"/>
      <c r="BS27" s="37"/>
      <c r="BT27" s="38"/>
      <c r="BU27" s="38"/>
      <c r="BV27" s="38"/>
      <c r="BW27" s="38"/>
      <c r="BX27" s="38"/>
    </row>
    <row r="28" spans="1:76" x14ac:dyDescent="0.35">
      <c r="C28" s="1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</row>
  </sheetData>
  <mergeCells count="3">
    <mergeCell ref="AP16:AS16"/>
    <mergeCell ref="AT16:AX16"/>
    <mergeCell ref="AL22:AO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 Ronch - PETINSA</dc:creator>
  <cp:lastModifiedBy>Diego Da Ronch - PETINSA</cp:lastModifiedBy>
  <dcterms:created xsi:type="dcterms:W3CDTF">2026-05-10T22:05:56Z</dcterms:created>
  <dcterms:modified xsi:type="dcterms:W3CDTF">2026-05-10T22:06:22Z</dcterms:modified>
</cp:coreProperties>
</file>