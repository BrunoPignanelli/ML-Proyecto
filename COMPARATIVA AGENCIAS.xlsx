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petinsa.sharepoint.com/sites/06-Logstica/General/02-Agencias/02.Comparativo costos/"/>
    </mc:Choice>
  </mc:AlternateContent>
  <xr:revisionPtr revIDLastSave="695" documentId="11_537BE73119D5B11FC1BB46F2EB1A7510530F8B82" xr6:coauthVersionLast="47" xr6:coauthVersionMax="47" xr10:uidLastSave="{3CCCEB78-2A16-4320-B6C8-DB5F3608EAD5}"/>
  <bookViews>
    <workbookView xWindow="-120" yWindow="-120" windowWidth="29040" windowHeight="15720" xr2:uid="{00000000-000D-0000-FFFF-FFFF00000000}"/>
  </bookViews>
  <sheets>
    <sheet name="Costo ag. Mayo 2026" sheetId="20" r:id="rId1"/>
    <sheet name="Costo ag. Abril 2026" sheetId="19" r:id="rId2"/>
    <sheet name="Costo ag. Marzo 2026" sheetId="18" r:id="rId3"/>
    <sheet name="Costo ag. Febrero 2026" sheetId="17" r:id="rId4"/>
    <sheet name="Costo.ag Enero 2026" sheetId="16" r:id="rId5"/>
    <sheet name="Costo.ag Septiembre 2025" sheetId="15" r:id="rId6"/>
    <sheet name="Costo ag.Julio 2025" sheetId="14" r:id="rId7"/>
    <sheet name="Costo ag.Junio 2025" sheetId="13" r:id="rId8"/>
    <sheet name="Costo ag.Abril 2025" sheetId="12" r:id="rId9"/>
    <sheet name="Costo ag.Octubre 2024" sheetId="10" r:id="rId10"/>
    <sheet name="Costo ag.Septiembre 2024" sheetId="11" r:id="rId11"/>
    <sheet name="Costo ag.Agosto 2024 " sheetId="9" r:id="rId12"/>
    <sheet name="Costo ag.Julio 2024" sheetId="8" r:id="rId13"/>
    <sheet name="Costo ag.may Junio 2024" sheetId="6" r:id="rId14"/>
    <sheet name="Costo ag. abril 2024" sheetId="5" r:id="rId15"/>
    <sheet name="Costo ag.marz 2024" sheetId="2" r:id="rId16"/>
    <sheet name="Costo ag.ene 2024" sheetId="1" r:id="rId17"/>
    <sheet name="Costo ag.dic 2023" sheetId="4" r:id="rId18"/>
  </sheets>
  <definedNames>
    <definedName name="_xlnm.Print_Area" localSheetId="14">'Costo ag. abril 2024'!$A$1:$Y$30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2" i="20" l="1"/>
  <c r="U19" i="20"/>
  <c r="U18" i="20"/>
  <c r="U17" i="20"/>
  <c r="U16" i="20"/>
  <c r="U15" i="20"/>
  <c r="U14" i="20"/>
  <c r="U13" i="20"/>
  <c r="U12" i="20"/>
  <c r="U11" i="20"/>
  <c r="U10" i="20"/>
  <c r="U9" i="20"/>
  <c r="U8" i="20"/>
  <c r="C9" i="19"/>
  <c r="C10" i="19"/>
  <c r="C11" i="19"/>
  <c r="C12" i="19"/>
  <c r="C13" i="19"/>
  <c r="C14" i="19"/>
  <c r="C15" i="19"/>
  <c r="C16" i="19"/>
  <c r="C8" i="19"/>
  <c r="O15" i="19"/>
  <c r="O14" i="19"/>
  <c r="O13" i="19"/>
  <c r="O12" i="19"/>
  <c r="O11" i="19"/>
  <c r="O10" i="19"/>
  <c r="O9" i="19"/>
  <c r="O8" i="19"/>
  <c r="M15" i="18"/>
  <c r="M14" i="18"/>
  <c r="M13" i="18"/>
  <c r="M12" i="18"/>
  <c r="M11" i="18"/>
  <c r="M10" i="18"/>
  <c r="M9" i="18"/>
  <c r="M8" i="18"/>
  <c r="K30" i="17"/>
  <c r="K18" i="17"/>
  <c r="K19" i="17"/>
  <c r="K14" i="17"/>
  <c r="K15" i="17"/>
  <c r="K16" i="17"/>
  <c r="K17" i="17"/>
  <c r="K13" i="17"/>
  <c r="K12" i="17"/>
  <c r="K11" i="17"/>
  <c r="K10" i="17"/>
  <c r="K9" i="17"/>
  <c r="K8" i="17"/>
  <c r="O15" i="17"/>
  <c r="O14" i="17"/>
  <c r="O13" i="17"/>
  <c r="O12" i="17"/>
  <c r="O11" i="17"/>
  <c r="O10" i="17"/>
  <c r="O9" i="17"/>
  <c r="O8" i="17"/>
  <c r="O15" i="16"/>
  <c r="O14" i="16"/>
  <c r="O13" i="16"/>
  <c r="O12" i="16"/>
  <c r="O11" i="16"/>
  <c r="O10" i="16"/>
  <c r="O9" i="16"/>
  <c r="O8" i="16"/>
  <c r="C16" i="15"/>
  <c r="C15" i="15"/>
  <c r="C14" i="15"/>
  <c r="C13" i="15"/>
  <c r="C12" i="15"/>
  <c r="C11" i="15"/>
  <c r="C10" i="15"/>
  <c r="C9" i="15"/>
  <c r="C8" i="15"/>
  <c r="O13" i="15"/>
  <c r="O15" i="15"/>
  <c r="O14" i="15"/>
  <c r="O12" i="15"/>
  <c r="O11" i="15"/>
  <c r="O10" i="15"/>
  <c r="O9" i="15"/>
  <c r="O8" i="15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31" i="10" s="1"/>
  <c r="O30" i="16" l="1"/>
  <c r="O30" i="15"/>
  <c r="C9" i="11"/>
  <c r="C10" i="11"/>
  <c r="C11" i="11"/>
  <c r="C12" i="11"/>
  <c r="C13" i="11"/>
  <c r="C14" i="11"/>
  <c r="C15" i="11"/>
  <c r="C16" i="11"/>
  <c r="C17" i="11"/>
  <c r="C8" i="11"/>
  <c r="G9" i="9" l="1"/>
  <c r="G10" i="9"/>
  <c r="G11" i="9"/>
  <c r="G12" i="9"/>
  <c r="G13" i="9"/>
  <c r="G14" i="9"/>
  <c r="G15" i="9"/>
  <c r="G8" i="9"/>
  <c r="G17" i="9" s="1"/>
</calcChain>
</file>

<file path=xl/sharedStrings.xml><?xml version="1.0" encoding="utf-8"?>
<sst xmlns="http://schemas.openxmlformats.org/spreadsheetml/2006/main" count="4572" uniqueCount="214">
  <si>
    <t>Agencias</t>
  </si>
  <si>
    <t>Canje</t>
  </si>
  <si>
    <t>No tiene</t>
  </si>
  <si>
    <t>Descuento (superando $400000)</t>
  </si>
  <si>
    <t>Frecuencia: L a V</t>
  </si>
  <si>
    <t>Aumento (Abril)</t>
  </si>
  <si>
    <t xml:space="preserve">Aumento: Julio </t>
  </si>
  <si>
    <t xml:space="preserve">Aumento:  agosto  </t>
  </si>
  <si>
    <t>Aumento:</t>
  </si>
  <si>
    <t>Frecuencia: L, Mier y V</t>
  </si>
  <si>
    <t xml:space="preserve">Aumento: Octubre </t>
  </si>
  <si>
    <t>Frecuencia: mart y jue</t>
  </si>
  <si>
    <t>Frecuencia: L, Mier, V</t>
  </si>
  <si>
    <t>Frecuencia: cuando tiene carga</t>
  </si>
  <si>
    <t xml:space="preserve">Frecuencia: Martes y Jueves </t>
  </si>
  <si>
    <t>DAC</t>
  </si>
  <si>
    <t>NASAZZI</t>
  </si>
  <si>
    <t>MEGAM</t>
  </si>
  <si>
    <t>Transportes Nagar sas (Expreso Ruta 1)</t>
  </si>
  <si>
    <t>SELEGUIN</t>
  </si>
  <si>
    <t>EXPRESO ROCHA</t>
  </si>
  <si>
    <t>BULEVAR (ACC)</t>
  </si>
  <si>
    <t>PERICO</t>
  </si>
  <si>
    <t>TRUJILLO</t>
  </si>
  <si>
    <t>EL TATO</t>
  </si>
  <si>
    <t>3EME (El Chambon)</t>
  </si>
  <si>
    <t>Martin Escudero (Lascano)</t>
  </si>
  <si>
    <t xml:space="preserve">Arzuaga </t>
  </si>
  <si>
    <t>Categorias</t>
  </si>
  <si>
    <t>Precios iva incl actualizados</t>
  </si>
  <si>
    <t>Precios iva incl</t>
  </si>
  <si>
    <t>Precios iva incl.</t>
  </si>
  <si>
    <t xml:space="preserve">Categorias </t>
  </si>
  <si>
    <t>total iva incl.</t>
  </si>
  <si>
    <t xml:space="preserve"> sin levante  IVA incl.</t>
  </si>
  <si>
    <t>con levante IVA incl.</t>
  </si>
  <si>
    <t>Rodado 12,13,14</t>
  </si>
  <si>
    <t>Rodado 13 y 14</t>
  </si>
  <si>
    <t>Bat y bultos</t>
  </si>
  <si>
    <t>Auto</t>
  </si>
  <si>
    <t>Baterias</t>
  </si>
  <si>
    <t>Cubierta chica hasta 205/70.16</t>
  </si>
  <si>
    <t>Atado cub moto</t>
  </si>
  <si>
    <t>Bultos</t>
  </si>
  <si>
    <t>cubiertas R13  R14</t>
  </si>
  <si>
    <t>Rodado 15 a 18</t>
  </si>
  <si>
    <t>Rodado 15 a 19</t>
  </si>
  <si>
    <t>Cub 13 y 14</t>
  </si>
  <si>
    <t>Camioneta</t>
  </si>
  <si>
    <t>Cubierta auto</t>
  </si>
  <si>
    <t xml:space="preserve">Cubierta grande hasta 750.16 </t>
  </si>
  <si>
    <t>Bat chicas</t>
  </si>
  <si>
    <t>Paseo hasta 16</t>
  </si>
  <si>
    <t xml:space="preserve">cubiertas R16 R18  </t>
  </si>
  <si>
    <t>Rodado 20 a 22,5</t>
  </si>
  <si>
    <t>Cubierta auto (15 a 17)</t>
  </si>
  <si>
    <t>Camion</t>
  </si>
  <si>
    <t>Cubierta camioneta</t>
  </si>
  <si>
    <t xml:space="preserve">Cubierta camion </t>
  </si>
  <si>
    <t>Bat grandes</t>
  </si>
  <si>
    <t>Camioneta 17 en adelante</t>
  </si>
  <si>
    <t xml:space="preserve">Cubiertas camion </t>
  </si>
  <si>
    <t>Cubierta tractor AGRO 24 a 42</t>
  </si>
  <si>
    <t>Rodado 24 y 25</t>
  </si>
  <si>
    <t>Tractor del y 17,5</t>
  </si>
  <si>
    <t>Bultos, atados, bolsas, cajas</t>
  </si>
  <si>
    <t>Neumatico agricolas y viales hasta 18.4/15-26</t>
  </si>
  <si>
    <t>Bolsas</t>
  </si>
  <si>
    <t>Agricola chica</t>
  </si>
  <si>
    <t>Cubiertas tractor chica</t>
  </si>
  <si>
    <t>Tambor 205lts</t>
  </si>
  <si>
    <t>Rodado 26 a 32</t>
  </si>
  <si>
    <t>Cubierta camion</t>
  </si>
  <si>
    <t>Tractor traseras</t>
  </si>
  <si>
    <t>Neum. Agricolas y viales mas de 23.1/18-26</t>
  </si>
  <si>
    <t>Caja aceite 1 y 4lts</t>
  </si>
  <si>
    <t>Agricola delantera</t>
  </si>
  <si>
    <t>Agricola extra grande</t>
  </si>
  <si>
    <t>Agricola mediana</t>
  </si>
  <si>
    <t>Cubiertas tractor mediana</t>
  </si>
  <si>
    <t>Bateria chica</t>
  </si>
  <si>
    <t>Cub viales de 38 a 46 extra grande</t>
  </si>
  <si>
    <t>Tractor chico</t>
  </si>
  <si>
    <t>Tractor grande</t>
  </si>
  <si>
    <t>Aceite de 20lts</t>
  </si>
  <si>
    <t>Cajas</t>
  </si>
  <si>
    <t>Agricola grande</t>
  </si>
  <si>
    <t>Cubiertas tractor grande</t>
  </si>
  <si>
    <t>Bateria grande</t>
  </si>
  <si>
    <t>Bat hasta 110 amp</t>
  </si>
  <si>
    <t>Bultos camaras</t>
  </si>
  <si>
    <t>Cub vial rod 38 a 42</t>
  </si>
  <si>
    <t xml:space="preserve">Baterias chicas </t>
  </si>
  <si>
    <t>Paquetes/cajas</t>
  </si>
  <si>
    <t>Atado moto</t>
  </si>
  <si>
    <t>Bat mayor 110 amp</t>
  </si>
  <si>
    <t>Tambor</t>
  </si>
  <si>
    <t>Tractor mediana 24 a 26</t>
  </si>
  <si>
    <t>Atados de cubiertas</t>
  </si>
  <si>
    <t>Cub camioneta 15 a 19</t>
  </si>
  <si>
    <t>Bat hasta 150 amp</t>
  </si>
  <si>
    <t>Baterias grandes</t>
  </si>
  <si>
    <t>Cajas medianas</t>
  </si>
  <si>
    <t>Bulto hasta 15kg</t>
  </si>
  <si>
    <t>Bultos lubricantes</t>
  </si>
  <si>
    <t xml:space="preserve">Camión Chico </t>
  </si>
  <si>
    <t>Tractor grande 28 a 30</t>
  </si>
  <si>
    <t>Cub auto  hasta rod 14</t>
  </si>
  <si>
    <t>Bat + 150 amp</t>
  </si>
  <si>
    <t>Tambor aceite</t>
  </si>
  <si>
    <t>Cajas grandes</t>
  </si>
  <si>
    <t xml:space="preserve">Sobres </t>
  </si>
  <si>
    <t>Tractor extra grande +30</t>
  </si>
  <si>
    <t>Cub tractor chica (hasta 22)</t>
  </si>
  <si>
    <t>Cub tractor chica</t>
  </si>
  <si>
    <t>Cajas lubricantes</t>
  </si>
  <si>
    <t xml:space="preserve">Baterías chicas </t>
  </si>
  <si>
    <t>Desenllantadora</t>
  </si>
  <si>
    <t>Cub tractor grande (de 25 a 36)</t>
  </si>
  <si>
    <t>Cub tractor grande</t>
  </si>
  <si>
    <t>Bultos/atados</t>
  </si>
  <si>
    <t>Baterías Camion</t>
  </si>
  <si>
    <t>Todas las agricolas mismo precio.</t>
  </si>
  <si>
    <t>Cub tractor mediana (24)</t>
  </si>
  <si>
    <t>Cub tractor mediana</t>
  </si>
  <si>
    <t>Tanque aceite</t>
  </si>
  <si>
    <t xml:space="preserve">Rodado 34 a 42 </t>
  </si>
  <si>
    <t>Cub camion</t>
  </si>
  <si>
    <t>Atado cubiertas moto</t>
  </si>
  <si>
    <t>Rodado 42 a 46</t>
  </si>
  <si>
    <t>Cubiertas viales 30 a 36</t>
  </si>
  <si>
    <t>Bultos comunes solo piso</t>
  </si>
  <si>
    <t>Exhibidor</t>
  </si>
  <si>
    <t>bat 110 solo piso</t>
  </si>
  <si>
    <t>Latas 20 lts aceite</t>
  </si>
  <si>
    <t>13 y 14 solo piso</t>
  </si>
  <si>
    <t>15 a 18 solo piso</t>
  </si>
  <si>
    <t>20 a 22,5 solo piso</t>
  </si>
  <si>
    <t>Atado cub moto piso</t>
  </si>
  <si>
    <t>Bat chicas piso</t>
  </si>
  <si>
    <t>Bolsas, cajas piso</t>
  </si>
  <si>
    <t>Cub auto  hasta rod 14 piso</t>
  </si>
  <si>
    <t>Cub camioneta 15 a 19 piso</t>
  </si>
  <si>
    <t xml:space="preserve">Promedio suba </t>
  </si>
  <si>
    <t>Aumento</t>
  </si>
  <si>
    <t>Aumento: Abil</t>
  </si>
  <si>
    <t>% aumento</t>
  </si>
  <si>
    <t>Bulto hasta 20kg</t>
  </si>
  <si>
    <t xml:space="preserve">Aumento: </t>
  </si>
  <si>
    <t>Nota:</t>
  </si>
  <si>
    <t>Reciben la mercaderia  hasta las 10/11 am del mismo día que viaja la mercadería, entregando en Trinidad al día siguiente. </t>
  </si>
  <si>
    <t>Retiro de mercadería del depósito siempre con previo aviso, un día para el otro agendamos, para tener organizado todo al día siguiente.</t>
  </si>
  <si>
    <t>Aumento 1,8%</t>
  </si>
  <si>
    <t>BULEVAR</t>
  </si>
  <si>
    <t>Precios iva incl (hasta julio)</t>
  </si>
  <si>
    <t>Aumenta un 16,2% en Agosto</t>
  </si>
  <si>
    <t>Aumentó un 7,24% en Abril</t>
  </si>
  <si>
    <t xml:space="preserve">Aumento 9,08% en Julio </t>
  </si>
  <si>
    <t xml:space="preserve">Si levanta en CL, tiene un costo de $1000+iva, por cada levante </t>
  </si>
  <si>
    <t>En caso de llevar nosotros la mercaderia, la dirección es la agencia trujillo Santa Fe 1218</t>
  </si>
  <si>
    <t>Se envian los pedidos que se pasan hasta las 15:00 del dia que se envia.</t>
  </si>
  <si>
    <t xml:space="preserve">Heber Garcia </t>
  </si>
  <si>
    <t>CUARÓ</t>
  </si>
  <si>
    <t>Aceites y lubricantes de 1 y 4lts</t>
  </si>
  <si>
    <t>Aceites y lubri 20lts</t>
  </si>
  <si>
    <t>Bat -150 amp</t>
  </si>
  <si>
    <t>Bat +150 amp</t>
  </si>
  <si>
    <t>Bultos, auto,moto, camaras</t>
  </si>
  <si>
    <t>Exhibidores</t>
  </si>
  <si>
    <t>Tractor del</t>
  </si>
  <si>
    <t>Tractor trasera 28 y motoniveladora</t>
  </si>
  <si>
    <t>Tractor trasera +30R</t>
  </si>
  <si>
    <t>Bultos, auto,moto piso</t>
  </si>
  <si>
    <t>Camioneta piso</t>
  </si>
  <si>
    <t>Atado moto piso</t>
  </si>
  <si>
    <t>Baterias grandes piso</t>
  </si>
  <si>
    <t xml:space="preserve">Precios iva incl actualizados </t>
  </si>
  <si>
    <t>Cub extra gde</t>
  </si>
  <si>
    <t>Cub rodado 46 mosquito</t>
  </si>
  <si>
    <t>Septiembre</t>
  </si>
  <si>
    <t xml:space="preserve">Precios iva incl. Actualizados </t>
  </si>
  <si>
    <t xml:space="preserve">% aumento </t>
  </si>
  <si>
    <t>Aumento suba promedio %</t>
  </si>
  <si>
    <t>Aumento  %</t>
  </si>
  <si>
    <t>Aumento ( Septiembre)</t>
  </si>
  <si>
    <t>GONFER</t>
  </si>
  <si>
    <t>Precios sin IVA (Empresa literal E)</t>
  </si>
  <si>
    <t>Cubierta de auto</t>
  </si>
  <si>
    <t>Cubierta de camioneta</t>
  </si>
  <si>
    <t>Cubierta de camión chico</t>
  </si>
  <si>
    <t xml:space="preserve">Cubierta de camión </t>
  </si>
  <si>
    <t>Agricola hasta rod 28</t>
  </si>
  <si>
    <t xml:space="preserve">Agricola grande rod 30 en adelante </t>
  </si>
  <si>
    <t xml:space="preserve">Aumento: 1 vez al año, mes a confirmar </t>
  </si>
  <si>
    <t>Aumento: Enero</t>
  </si>
  <si>
    <t xml:space="preserve">Precios iva incl.  </t>
  </si>
  <si>
    <t>% suba</t>
  </si>
  <si>
    <t>Precios iva incl. Actualizados</t>
  </si>
  <si>
    <t>Baterias chicas</t>
  </si>
  <si>
    <t xml:space="preserve">Baterias grandes </t>
  </si>
  <si>
    <t>Suba Promedio %</t>
  </si>
  <si>
    <t>Franchi</t>
  </si>
  <si>
    <t>Cub.auto</t>
  </si>
  <si>
    <t>Cub.camioneta</t>
  </si>
  <si>
    <t>Cub.camión</t>
  </si>
  <si>
    <t>Cub. agricola mediana</t>
  </si>
  <si>
    <t>Cub. agricola gde</t>
  </si>
  <si>
    <t xml:space="preserve"> sin levante  IVA incl. Young y Paysandú</t>
  </si>
  <si>
    <t xml:space="preserve">sin levante  IVA incl. Trinidad </t>
  </si>
  <si>
    <t xml:space="preserve">Suba promedio </t>
  </si>
  <si>
    <t>Aumento ( Marzo y Septiembre)</t>
  </si>
  <si>
    <t>Aumento: Mayo</t>
  </si>
  <si>
    <t xml:space="preserve">suba promedio </t>
  </si>
  <si>
    <t>Precio Actualizado sin IVA (Empresa literal 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</si>
</sst>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omic Sans MS"/>
      <family val="4"/>
    </font>
    <font>
      <sz val="10"/>
      <color rgb="FF000000"/>
      <name val="Comic Sans MS"/>
      <family val="4"/>
    </font>
    <font>
      <sz val="10"/>
      <color theme="1"/>
      <name val="Comic Sans MS"/>
      <family val="4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2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9" fontId="0" fillId="0" borderId="4" xfId="0" applyNumberFormat="1" applyBorder="1"/>
    <xf numFmtId="0" fontId="1" fillId="0" borderId="5" xfId="0" applyFont="1" applyBorder="1" applyAlignment="1">
      <alignment horizontal="center"/>
    </xf>
    <xf numFmtId="9" fontId="0" fillId="0" borderId="2" xfId="0" applyNumberFormat="1" applyBorder="1"/>
    <xf numFmtId="0" fontId="0" fillId="0" borderId="4" xfId="0" applyBorder="1"/>
    <xf numFmtId="9" fontId="0" fillId="0" borderId="4" xfId="0" applyNumberFormat="1" applyBorder="1" applyAlignment="1">
      <alignment horizontal="right"/>
    </xf>
    <xf numFmtId="0" fontId="1" fillId="0" borderId="6" xfId="0" applyFont="1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/>
    <xf numFmtId="0" fontId="2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2" fillId="0" borderId="6" xfId="0" applyFont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3" xfId="0" applyBorder="1" applyAlignment="1">
      <alignment horizontal="right"/>
    </xf>
    <xf numFmtId="0" fontId="0" fillId="0" borderId="11" xfId="0" applyBorder="1"/>
    <xf numFmtId="0" fontId="1" fillId="0" borderId="6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9" fontId="0" fillId="0" borderId="11" xfId="0" applyNumberFormat="1" applyBorder="1"/>
    <xf numFmtId="0" fontId="1" fillId="0" borderId="12" xfId="0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4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0" fillId="0" borderId="17" xfId="0" applyBorder="1"/>
    <xf numFmtId="0" fontId="3" fillId="0" borderId="18" xfId="0" applyFont="1" applyBorder="1" applyAlignment="1">
      <alignment horizontal="center"/>
    </xf>
    <xf numFmtId="0" fontId="8" fillId="0" borderId="18" xfId="0" applyFont="1" applyBorder="1"/>
    <xf numFmtId="0" fontId="0" fillId="0" borderId="19" xfId="0" applyBorder="1"/>
    <xf numFmtId="0" fontId="0" fillId="0" borderId="21" xfId="0" applyBorder="1"/>
    <xf numFmtId="0" fontId="0" fillId="0" borderId="20" xfId="0" applyBorder="1"/>
    <xf numFmtId="164" fontId="0" fillId="0" borderId="20" xfId="0" applyNumberFormat="1" applyBorder="1" applyAlignment="1">
      <alignment horizontal="center"/>
    </xf>
    <xf numFmtId="0" fontId="9" fillId="0" borderId="22" xfId="0" applyFont="1" applyBorder="1"/>
    <xf numFmtId="0" fontId="8" fillId="0" borderId="0" xfId="0" applyFont="1"/>
    <xf numFmtId="0" fontId="3" fillId="0" borderId="18" xfId="0" applyFont="1" applyBorder="1"/>
    <xf numFmtId="9" fontId="0" fillId="0" borderId="4" xfId="0" applyNumberForma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0" fillId="0" borderId="0" xfId="0" applyNumberFormat="1"/>
    <xf numFmtId="2" fontId="0" fillId="0" borderId="11" xfId="0" applyNumberFormat="1" applyBorder="1"/>
    <xf numFmtId="2" fontId="1" fillId="0" borderId="12" xfId="0" applyNumberFormat="1" applyFon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23" xfId="0" applyBorder="1"/>
    <xf numFmtId="2" fontId="0" fillId="0" borderId="6" xfId="0" applyNumberFormat="1" applyBorder="1"/>
    <xf numFmtId="2" fontId="3" fillId="0" borderId="18" xfId="0" applyNumberFormat="1" applyFont="1" applyBorder="1"/>
    <xf numFmtId="0" fontId="1" fillId="0" borderId="22" xfId="0" applyFont="1" applyBorder="1" applyAlignment="1">
      <alignment horizontal="center"/>
    </xf>
    <xf numFmtId="0" fontId="10" fillId="0" borderId="18" xfId="0" applyFont="1" applyBorder="1"/>
    <xf numFmtId="0" fontId="0" fillId="0" borderId="0" xfId="1" applyNumberFormat="1" applyFont="1"/>
    <xf numFmtId="0" fontId="2" fillId="0" borderId="12" xfId="0" applyFont="1" applyBorder="1" applyAlignment="1">
      <alignment horizontal="center"/>
    </xf>
    <xf numFmtId="0" fontId="3" fillId="0" borderId="12" xfId="0" applyFont="1" applyBorder="1"/>
    <xf numFmtId="0" fontId="1" fillId="0" borderId="3" xfId="0" applyFont="1" applyBorder="1"/>
    <xf numFmtId="10" fontId="1" fillId="0" borderId="4" xfId="0" applyNumberFormat="1" applyFont="1" applyBorder="1" applyAlignment="1">
      <alignment horizontal="center"/>
    </xf>
    <xf numFmtId="0" fontId="4" fillId="0" borderId="17" xfId="0" applyFont="1" applyBorder="1"/>
    <xf numFmtId="0" fontId="0" fillId="0" borderId="24" xfId="0" applyBorder="1"/>
    <xf numFmtId="0" fontId="3" fillId="0" borderId="12" xfId="0" applyFont="1" applyBorder="1" applyAlignment="1">
      <alignment horizontal="center"/>
    </xf>
    <xf numFmtId="0" fontId="0" fillId="0" borderId="22" xfId="0" applyBorder="1"/>
    <xf numFmtId="0" fontId="0" fillId="0" borderId="12" xfId="0" applyBorder="1"/>
    <xf numFmtId="2" fontId="1" fillId="0" borderId="4" xfId="0" applyNumberFormat="1" applyFont="1" applyBorder="1"/>
    <xf numFmtId="0" fontId="1" fillId="3" borderId="0" xfId="0" applyFont="1" applyFill="1" applyAlignment="1">
      <alignment horizontal="center"/>
    </xf>
    <xf numFmtId="0" fontId="0" fillId="0" borderId="22" xfId="1" applyNumberFormat="1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3" fillId="0" borderId="6" xfId="0" applyFont="1" applyBorder="1"/>
    <xf numFmtId="2" fontId="0" fillId="0" borderId="4" xfId="0" applyNumberFormat="1" applyBorder="1"/>
    <xf numFmtId="9" fontId="0" fillId="0" borderId="22" xfId="0" applyNumberFormat="1" applyBorder="1"/>
    <xf numFmtId="0" fontId="0" fillId="0" borderId="10" xfId="0" applyBorder="1"/>
    <xf numFmtId="0" fontId="3" fillId="0" borderId="25" xfId="0" applyFont="1" applyBorder="1"/>
    <xf numFmtId="0" fontId="3" fillId="0" borderId="26" xfId="0" applyFont="1" applyBorder="1"/>
    <xf numFmtId="0" fontId="0" fillId="0" borderId="0" xfId="0" applyAlignment="1">
      <alignment horizontal="left"/>
    </xf>
    <xf numFmtId="0" fontId="2" fillId="0" borderId="25" xfId="0" applyFont="1" applyBorder="1"/>
    <xf numFmtId="0" fontId="2" fillId="0" borderId="26" xfId="0" applyFont="1" applyBorder="1"/>
    <xf numFmtId="0" fontId="4" fillId="5" borderId="6" xfId="0" applyFont="1" applyFill="1" applyBorder="1"/>
    <xf numFmtId="9" fontId="0" fillId="0" borderId="11" xfId="0" applyNumberFormat="1" applyBorder="1" applyAlignment="1">
      <alignment horizontal="center"/>
    </xf>
    <xf numFmtId="0" fontId="2" fillId="5" borderId="6" xfId="0" applyFont="1" applyFill="1" applyBorder="1"/>
    <xf numFmtId="2" fontId="2" fillId="0" borderId="6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0" xfId="0" applyAlignment="1">
      <alignment horizontal="left"/>
    </xf>
    <xf numFmtId="9" fontId="0" fillId="0" borderId="11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4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9" fontId="0" fillId="0" borderId="3" xfId="0" applyNumberFormat="1" applyBorder="1" applyAlignment="1">
      <alignment horizontal="right"/>
    </xf>
    <xf numFmtId="9" fontId="0" fillId="0" borderId="4" xfId="0" applyNumberFormat="1" applyBorder="1" applyAlignment="1">
      <alignment horizontal="right"/>
    </xf>
    <xf numFmtId="2" fontId="1" fillId="0" borderId="6" xfId="0" applyNumberFormat="1" applyFont="1" applyBorder="1" applyAlignment="1">
      <alignment horizontal="center"/>
    </xf>
    <xf numFmtId="0" fontId="1" fillId="2" borderId="6" xfId="0" applyFont="1" applyFill="1" applyBorder="1"/>
    <xf numFmtId="0" fontId="1" fillId="2" borderId="6" xfId="0" applyFont="1" applyFill="1" applyBorder="1" applyAlignment="1">
      <alignment horizontal="center"/>
    </xf>
    <xf numFmtId="0" fontId="3" fillId="2" borderId="6" xfId="0" applyFont="1" applyFill="1" applyBorder="1"/>
    <xf numFmtId="2" fontId="0" fillId="2" borderId="6" xfId="0" applyNumberForma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093B-59EE-4AEA-8FBC-6B60253284C5}">
  <dimension ref="A1:AE32"/>
  <sheetViews>
    <sheetView tabSelected="1" topLeftCell="P1" workbookViewId="0">
      <selection activeCell="U24" sqref="U24"/>
    </sheetView>
  </sheetViews>
  <sheetFormatPr baseColWidth="10" defaultColWidth="9.140625" defaultRowHeight="15" x14ac:dyDescent="0.25"/>
  <cols>
    <col min="1" max="1" width="37.42578125" customWidth="1"/>
    <col min="2" max="4" width="34.5703125" customWidth="1"/>
    <col min="5" max="5" width="22.7109375" customWidth="1"/>
    <col min="6" max="6" width="18.85546875" customWidth="1"/>
    <col min="7" max="7" width="20.7109375" customWidth="1"/>
    <col min="8" max="8" width="21.28515625" customWidth="1"/>
    <col min="9" max="9" width="25.85546875" customWidth="1"/>
    <col min="10" max="10" width="29.5703125" customWidth="1"/>
    <col min="11" max="11" width="43.85546875" customWidth="1"/>
    <col min="12" max="12" width="27" customWidth="1"/>
    <col min="13" max="13" width="33" customWidth="1"/>
    <col min="14" max="14" width="13.28515625" customWidth="1"/>
    <col min="15" max="15" width="24.140625" customWidth="1"/>
    <col min="16" max="16" width="15.85546875" customWidth="1"/>
    <col min="17" max="17" width="24.140625" customWidth="1"/>
    <col min="18" max="18" width="11.140625" customWidth="1"/>
    <col min="19" max="19" width="27" customWidth="1"/>
    <col min="20" max="20" width="41" customWidth="1"/>
    <col min="21" max="21" width="39.5703125" customWidth="1"/>
    <col min="22" max="22" width="46.5703125" customWidth="1"/>
    <col min="23" max="23" width="23.28515625" customWidth="1"/>
    <col min="24" max="24" width="19.140625" customWidth="1"/>
    <col min="25" max="25" width="19.28515625" customWidth="1"/>
    <col min="26" max="26" width="14.85546875" customWidth="1"/>
    <col min="27" max="27" width="25.7109375" customWidth="1"/>
    <col min="28" max="28" width="21.85546875" customWidth="1"/>
    <col min="29" max="29" width="27.85546875" customWidth="1"/>
    <col min="30" max="30" width="23.7109375" customWidth="1"/>
    <col min="31" max="31" width="19.28515625" customWidth="1"/>
  </cols>
  <sheetData>
    <row r="1" spans="1:31" x14ac:dyDescent="0.25">
      <c r="A1" s="3" t="s">
        <v>0</v>
      </c>
      <c r="B1" s="3"/>
    </row>
    <row r="2" spans="1:31" ht="15.75" thickBot="1" x14ac:dyDescent="0.3"/>
    <row r="3" spans="1:31" ht="15.75" thickBot="1" x14ac:dyDescent="0.3">
      <c r="A3" s="2" t="s">
        <v>1</v>
      </c>
      <c r="B3" s="32">
        <v>0.1</v>
      </c>
      <c r="C3" s="2" t="s">
        <v>1</v>
      </c>
      <c r="D3" s="32">
        <v>0.4</v>
      </c>
      <c r="E3" s="2" t="s">
        <v>1</v>
      </c>
      <c r="F3" s="51">
        <v>0.25</v>
      </c>
      <c r="G3" s="29" t="s">
        <v>1</v>
      </c>
      <c r="H3" s="4" t="s">
        <v>2</v>
      </c>
      <c r="I3" s="2" t="s">
        <v>1</v>
      </c>
      <c r="J3" s="4">
        <v>1</v>
      </c>
      <c r="K3" s="2" t="s">
        <v>1</v>
      </c>
      <c r="L3" s="89" t="s">
        <v>2</v>
      </c>
      <c r="M3" s="2" t="s">
        <v>1</v>
      </c>
      <c r="N3" s="32">
        <v>0.25</v>
      </c>
      <c r="O3" s="2" t="s">
        <v>1</v>
      </c>
      <c r="P3" s="8" t="s">
        <v>2</v>
      </c>
      <c r="Q3" s="2" t="s">
        <v>1</v>
      </c>
      <c r="R3" s="4">
        <v>1</v>
      </c>
      <c r="S3" s="2" t="s">
        <v>1</v>
      </c>
      <c r="T3" s="8"/>
      <c r="U3" s="113">
        <v>0.15</v>
      </c>
      <c r="V3" s="114"/>
      <c r="W3" s="2" t="s">
        <v>1</v>
      </c>
      <c r="X3" s="8" t="s">
        <v>2</v>
      </c>
      <c r="Y3" s="2" t="s">
        <v>1</v>
      </c>
      <c r="Z3" s="8" t="s">
        <v>2</v>
      </c>
      <c r="AA3" s="2" t="s">
        <v>1</v>
      </c>
      <c r="AB3" s="99" t="s">
        <v>2</v>
      </c>
      <c r="AC3" s="100"/>
      <c r="AD3" s="2" t="s">
        <v>1</v>
      </c>
      <c r="AE3" s="81">
        <v>1</v>
      </c>
    </row>
    <row r="4" spans="1:31" ht="15.75" thickBot="1" x14ac:dyDescent="0.3">
      <c r="A4" s="1" t="s">
        <v>3</v>
      </c>
      <c r="E4" s="38"/>
    </row>
    <row r="5" spans="1:31" ht="15.75" thickBot="1" x14ac:dyDescent="0.3">
      <c r="A5" s="2" t="s">
        <v>4</v>
      </c>
      <c r="B5" s="29" t="s">
        <v>210</v>
      </c>
      <c r="C5" s="2" t="s">
        <v>4</v>
      </c>
      <c r="D5" s="29" t="s">
        <v>6</v>
      </c>
      <c r="E5" s="2" t="s">
        <v>4</v>
      </c>
      <c r="F5" s="7" t="s">
        <v>7</v>
      </c>
      <c r="G5" s="29" t="s">
        <v>4</v>
      </c>
      <c r="H5" s="7" t="s">
        <v>194</v>
      </c>
      <c r="I5" s="2" t="s">
        <v>4</v>
      </c>
      <c r="J5" s="7" t="s">
        <v>8</v>
      </c>
      <c r="K5" s="2" t="s">
        <v>9</v>
      </c>
      <c r="L5" s="7" t="s">
        <v>8</v>
      </c>
      <c r="M5" s="2" t="s">
        <v>4</v>
      </c>
      <c r="N5" s="29"/>
      <c r="O5" s="2" t="s">
        <v>11</v>
      </c>
      <c r="P5" s="7" t="s">
        <v>8</v>
      </c>
      <c r="Q5" s="2" t="s">
        <v>4</v>
      </c>
      <c r="R5" s="7" t="s">
        <v>8</v>
      </c>
      <c r="S5" s="2" t="s">
        <v>4</v>
      </c>
      <c r="T5" s="7" t="s">
        <v>211</v>
      </c>
      <c r="U5" s="29"/>
      <c r="V5" s="29"/>
      <c r="W5" s="2" t="s">
        <v>13</v>
      </c>
      <c r="X5" s="7" t="s">
        <v>8</v>
      </c>
      <c r="Y5" s="101" t="s">
        <v>14</v>
      </c>
      <c r="Z5" s="102"/>
      <c r="AA5" s="101" t="s">
        <v>4</v>
      </c>
      <c r="AB5" s="103"/>
      <c r="AC5" s="103"/>
      <c r="AD5" s="99" t="s">
        <v>4</v>
      </c>
      <c r="AE5" s="104"/>
    </row>
    <row r="6" spans="1:31" x14ac:dyDescent="0.25">
      <c r="A6" s="95" t="s">
        <v>15</v>
      </c>
      <c r="B6" s="95"/>
      <c r="C6" s="105" t="s">
        <v>16</v>
      </c>
      <c r="D6" s="105"/>
      <c r="E6" s="106" t="s">
        <v>17</v>
      </c>
      <c r="F6" s="105"/>
      <c r="G6" s="95" t="s">
        <v>18</v>
      </c>
      <c r="H6" s="95"/>
      <c r="I6" s="105" t="s">
        <v>19</v>
      </c>
      <c r="J6" s="105"/>
      <c r="K6" s="17" t="s">
        <v>20</v>
      </c>
      <c r="L6" s="17"/>
      <c r="M6" s="95" t="s">
        <v>21</v>
      </c>
      <c r="N6" s="95"/>
      <c r="O6" s="17" t="s">
        <v>22</v>
      </c>
      <c r="P6" s="17"/>
      <c r="Q6" s="17" t="s">
        <v>23</v>
      </c>
      <c r="R6" s="17"/>
      <c r="S6" s="17" t="s">
        <v>185</v>
      </c>
      <c r="T6" s="17"/>
      <c r="U6" s="17"/>
      <c r="V6" s="17"/>
      <c r="W6" s="95" t="s">
        <v>25</v>
      </c>
      <c r="X6" s="95"/>
      <c r="Y6" s="95" t="s">
        <v>26</v>
      </c>
      <c r="Z6" s="95"/>
      <c r="AA6" s="95" t="s">
        <v>27</v>
      </c>
      <c r="AB6" s="95"/>
      <c r="AC6" s="95"/>
      <c r="AD6" s="95" t="s">
        <v>201</v>
      </c>
      <c r="AE6" s="95"/>
    </row>
    <row r="7" spans="1:31" x14ac:dyDescent="0.25">
      <c r="A7" s="9" t="s">
        <v>28</v>
      </c>
      <c r="B7" s="33" t="s">
        <v>30</v>
      </c>
      <c r="C7" s="9" t="s">
        <v>28</v>
      </c>
      <c r="D7" s="33" t="s">
        <v>30</v>
      </c>
      <c r="E7" s="40" t="s">
        <v>28</v>
      </c>
      <c r="F7" s="53" t="s">
        <v>30</v>
      </c>
      <c r="G7" s="36" t="s">
        <v>28</v>
      </c>
      <c r="H7" s="9" t="s">
        <v>195</v>
      </c>
      <c r="I7" s="9" t="s">
        <v>28</v>
      </c>
      <c r="J7" s="9" t="s">
        <v>197</v>
      </c>
      <c r="K7" s="9" t="s">
        <v>28</v>
      </c>
      <c r="L7" s="9" t="s">
        <v>31</v>
      </c>
      <c r="M7" s="9" t="s">
        <v>28</v>
      </c>
      <c r="N7" s="9" t="s">
        <v>31</v>
      </c>
      <c r="O7" s="9" t="s">
        <v>28</v>
      </c>
      <c r="P7" s="9" t="s">
        <v>31</v>
      </c>
      <c r="Q7" s="9" t="s">
        <v>28</v>
      </c>
      <c r="R7" s="9" t="s">
        <v>31</v>
      </c>
      <c r="S7" s="116" t="s">
        <v>28</v>
      </c>
      <c r="T7" s="116" t="s">
        <v>186</v>
      </c>
      <c r="U7" s="117" t="s">
        <v>146</v>
      </c>
      <c r="V7" s="118" t="s">
        <v>213</v>
      </c>
      <c r="W7" s="9" t="s">
        <v>28</v>
      </c>
      <c r="X7" s="9" t="s">
        <v>31</v>
      </c>
      <c r="Y7" s="9" t="s">
        <v>32</v>
      </c>
      <c r="Z7" s="9" t="s">
        <v>33</v>
      </c>
      <c r="AA7" s="9" t="s">
        <v>32</v>
      </c>
      <c r="AB7" s="9" t="s">
        <v>207</v>
      </c>
      <c r="AC7" s="9" t="s">
        <v>208</v>
      </c>
      <c r="AD7" s="9" t="s">
        <v>32</v>
      </c>
      <c r="AE7" s="9" t="s">
        <v>33</v>
      </c>
    </row>
    <row r="8" spans="1:31" x14ac:dyDescent="0.25">
      <c r="A8" s="10" t="s">
        <v>36</v>
      </c>
      <c r="B8" s="13">
        <v>296.77</v>
      </c>
      <c r="C8" s="10" t="s">
        <v>37</v>
      </c>
      <c r="D8" s="65">
        <v>145.18</v>
      </c>
      <c r="E8" s="41" t="s">
        <v>38</v>
      </c>
      <c r="F8" s="52">
        <v>100</v>
      </c>
      <c r="G8" s="37" t="s">
        <v>39</v>
      </c>
      <c r="H8" s="22">
        <v>108.89</v>
      </c>
      <c r="I8" s="10" t="s">
        <v>198</v>
      </c>
      <c r="J8" s="22">
        <v>140.30000000000001</v>
      </c>
      <c r="K8" s="10" t="s">
        <v>41</v>
      </c>
      <c r="L8" s="65">
        <v>122</v>
      </c>
      <c r="M8" s="10" t="s">
        <v>42</v>
      </c>
      <c r="N8" s="11">
        <v>97.6</v>
      </c>
      <c r="O8" s="10" t="s">
        <v>42</v>
      </c>
      <c r="P8" s="11">
        <v>86.62</v>
      </c>
      <c r="Q8" s="10" t="s">
        <v>43</v>
      </c>
      <c r="R8" s="11">
        <v>90</v>
      </c>
      <c r="S8" s="15" t="s">
        <v>187</v>
      </c>
      <c r="T8" s="16">
        <v>105</v>
      </c>
      <c r="U8" s="119">
        <f>V8*100/T8-100</f>
        <v>8.5714285714285694</v>
      </c>
      <c r="V8" s="120">
        <v>114</v>
      </c>
      <c r="W8" s="10" t="s">
        <v>42</v>
      </c>
      <c r="X8" s="11">
        <v>86.62</v>
      </c>
      <c r="Y8" s="10" t="s">
        <v>39</v>
      </c>
      <c r="Z8" s="10">
        <v>122</v>
      </c>
      <c r="AA8" s="10" t="s">
        <v>44</v>
      </c>
      <c r="AB8" s="10">
        <v>87.84</v>
      </c>
      <c r="AC8" s="90">
        <v>91.5</v>
      </c>
      <c r="AD8" s="18" t="s">
        <v>43</v>
      </c>
      <c r="AE8" s="86">
        <v>100</v>
      </c>
    </row>
    <row r="9" spans="1:31" x14ac:dyDescent="0.25">
      <c r="A9" s="10" t="s">
        <v>45</v>
      </c>
      <c r="B9" s="13">
        <v>414.92</v>
      </c>
      <c r="C9" s="10" t="s">
        <v>46</v>
      </c>
      <c r="D9" s="65">
        <v>196.42</v>
      </c>
      <c r="E9" s="41" t="s">
        <v>47</v>
      </c>
      <c r="F9" s="52">
        <v>60</v>
      </c>
      <c r="G9" s="37" t="s">
        <v>48</v>
      </c>
      <c r="H9" s="22">
        <v>147.32</v>
      </c>
      <c r="I9" t="s">
        <v>199</v>
      </c>
      <c r="J9" s="22">
        <v>219.6</v>
      </c>
      <c r="K9" s="10" t="s">
        <v>50</v>
      </c>
      <c r="L9" s="65">
        <v>170.8</v>
      </c>
      <c r="M9" s="10" t="s">
        <v>51</v>
      </c>
      <c r="N9" s="11">
        <v>146.4</v>
      </c>
      <c r="O9" s="10" t="s">
        <v>51</v>
      </c>
      <c r="P9" s="11">
        <v>129.32</v>
      </c>
      <c r="Q9" s="10" t="s">
        <v>52</v>
      </c>
      <c r="R9" s="11">
        <v>90</v>
      </c>
      <c r="S9" s="15" t="s">
        <v>188</v>
      </c>
      <c r="T9" s="16">
        <v>160</v>
      </c>
      <c r="U9" s="119">
        <f>V9*100/T9-100</f>
        <v>8.125</v>
      </c>
      <c r="V9" s="120">
        <v>173</v>
      </c>
      <c r="W9" s="10" t="s">
        <v>51</v>
      </c>
      <c r="X9" s="11">
        <v>129.32</v>
      </c>
      <c r="Y9" s="10" t="s">
        <v>48</v>
      </c>
      <c r="Z9" s="10">
        <v>146.4</v>
      </c>
      <c r="AA9" s="10" t="s">
        <v>53</v>
      </c>
      <c r="AB9" s="10">
        <v>106.14</v>
      </c>
      <c r="AC9" s="90">
        <v>113.46</v>
      </c>
      <c r="AD9" s="18" t="s">
        <v>202</v>
      </c>
      <c r="AE9" s="86">
        <v>120</v>
      </c>
    </row>
    <row r="10" spans="1:31" x14ac:dyDescent="0.25">
      <c r="A10" s="10" t="s">
        <v>54</v>
      </c>
      <c r="B10" s="13">
        <v>445.17</v>
      </c>
      <c r="C10" s="10" t="s">
        <v>54</v>
      </c>
      <c r="D10" s="65">
        <v>506.3</v>
      </c>
      <c r="E10" s="41" t="s">
        <v>55</v>
      </c>
      <c r="F10" s="52">
        <v>90</v>
      </c>
      <c r="G10" s="37" t="s">
        <v>56</v>
      </c>
      <c r="H10" s="22">
        <v>294.63</v>
      </c>
      <c r="I10" s="10" t="s">
        <v>49</v>
      </c>
      <c r="J10" s="22">
        <v>114.68</v>
      </c>
      <c r="K10" s="10" t="s">
        <v>58</v>
      </c>
      <c r="L10" s="65">
        <v>353.8</v>
      </c>
      <c r="M10" s="10" t="s">
        <v>59</v>
      </c>
      <c r="N10" s="11">
        <v>219.6</v>
      </c>
      <c r="O10" s="10" t="s">
        <v>59</v>
      </c>
      <c r="P10" s="11">
        <v>167.14</v>
      </c>
      <c r="Q10" s="10" t="s">
        <v>60</v>
      </c>
      <c r="R10" s="11">
        <v>100</v>
      </c>
      <c r="S10" s="15" t="s">
        <v>189</v>
      </c>
      <c r="T10" s="16">
        <v>195</v>
      </c>
      <c r="U10" s="119">
        <f t="shared" ref="U10:U19" si="0">V10*100/T10-100</f>
        <v>8.2051282051282044</v>
      </c>
      <c r="V10" s="120">
        <v>211</v>
      </c>
      <c r="W10" s="10" t="s">
        <v>59</v>
      </c>
      <c r="X10" s="11">
        <v>167.14</v>
      </c>
      <c r="Y10" s="10" t="s">
        <v>56</v>
      </c>
      <c r="Z10" s="10">
        <v>427</v>
      </c>
      <c r="AA10" s="10" t="s">
        <v>61</v>
      </c>
      <c r="AB10" s="10">
        <v>231.79999999999998</v>
      </c>
      <c r="AC10" s="90">
        <v>244</v>
      </c>
      <c r="AD10" s="18" t="s">
        <v>203</v>
      </c>
      <c r="AE10" s="86">
        <v>150</v>
      </c>
    </row>
    <row r="11" spans="1:31" x14ac:dyDescent="0.25">
      <c r="A11" s="10" t="s">
        <v>62</v>
      </c>
      <c r="B11" s="13">
        <v>1485.35</v>
      </c>
      <c r="C11" s="10" t="s">
        <v>63</v>
      </c>
      <c r="D11" s="65">
        <v>1111.42</v>
      </c>
      <c r="E11" s="41" t="s">
        <v>57</v>
      </c>
      <c r="F11" s="52">
        <v>120</v>
      </c>
      <c r="G11" s="37" t="s">
        <v>64</v>
      </c>
      <c r="H11" s="22">
        <v>236.99</v>
      </c>
      <c r="I11" s="10" t="s">
        <v>57</v>
      </c>
      <c r="J11" s="22">
        <v>114.68</v>
      </c>
      <c r="K11" s="10" t="s">
        <v>66</v>
      </c>
      <c r="L11" s="65">
        <v>957.7</v>
      </c>
      <c r="M11" s="10" t="s">
        <v>67</v>
      </c>
      <c r="N11" s="11">
        <v>97.6</v>
      </c>
      <c r="O11" s="10" t="s">
        <v>67</v>
      </c>
      <c r="P11" s="11">
        <v>86.62</v>
      </c>
      <c r="Q11" s="10" t="s">
        <v>56</v>
      </c>
      <c r="R11" s="11">
        <v>200</v>
      </c>
      <c r="S11" s="15" t="s">
        <v>190</v>
      </c>
      <c r="T11" s="16">
        <v>300</v>
      </c>
      <c r="U11" s="119">
        <f t="shared" si="0"/>
        <v>8</v>
      </c>
      <c r="V11" s="120">
        <v>324</v>
      </c>
      <c r="W11" s="10" t="s">
        <v>67</v>
      </c>
      <c r="X11" s="11">
        <v>86.62</v>
      </c>
      <c r="Y11" s="10" t="s">
        <v>68</v>
      </c>
      <c r="Z11" s="10">
        <v>488</v>
      </c>
      <c r="AA11" s="10" t="s">
        <v>69</v>
      </c>
      <c r="AB11" s="10">
        <v>463.59999999999997</v>
      </c>
      <c r="AC11" s="22">
        <v>463.6</v>
      </c>
      <c r="AD11" s="18" t="s">
        <v>204</v>
      </c>
      <c r="AE11" s="86">
        <v>300</v>
      </c>
    </row>
    <row r="12" spans="1:31" x14ac:dyDescent="0.25">
      <c r="A12" s="10" t="s">
        <v>70</v>
      </c>
      <c r="B12" s="13">
        <v>2117.8200000000002</v>
      </c>
      <c r="C12" s="10" t="s">
        <v>71</v>
      </c>
      <c r="D12" s="13">
        <v>1836.1</v>
      </c>
      <c r="E12" s="37" t="s">
        <v>72</v>
      </c>
      <c r="F12" s="52">
        <v>200</v>
      </c>
      <c r="G12" s="37" t="s">
        <v>73</v>
      </c>
      <c r="H12" s="22">
        <v>653.30999999999995</v>
      </c>
      <c r="I12" s="10" t="s">
        <v>65</v>
      </c>
      <c r="J12" s="22">
        <v>128.1</v>
      </c>
      <c r="K12" s="10" t="s">
        <v>74</v>
      </c>
      <c r="L12" s="65">
        <v>1171.2</v>
      </c>
      <c r="M12" s="10" t="s">
        <v>75</v>
      </c>
      <c r="N12" s="11">
        <v>152.5</v>
      </c>
      <c r="O12" s="10" t="s">
        <v>75</v>
      </c>
      <c r="P12" s="11">
        <v>114.68</v>
      </c>
      <c r="Q12" s="10" t="s">
        <v>76</v>
      </c>
      <c r="R12" s="11">
        <v>180</v>
      </c>
      <c r="S12" s="15" t="s">
        <v>68</v>
      </c>
      <c r="T12" s="16">
        <v>180</v>
      </c>
      <c r="U12" s="119">
        <f t="shared" si="0"/>
        <v>8.3333333333333286</v>
      </c>
      <c r="V12" s="120">
        <v>195</v>
      </c>
      <c r="W12" s="10" t="s">
        <v>75</v>
      </c>
      <c r="X12" s="11">
        <v>114.68</v>
      </c>
      <c r="Y12" s="10" t="s">
        <v>78</v>
      </c>
      <c r="Z12" s="10">
        <v>1098</v>
      </c>
      <c r="AA12" s="10" t="s">
        <v>79</v>
      </c>
      <c r="AB12" s="10">
        <v>829.6</v>
      </c>
      <c r="AC12" s="90">
        <v>878.4</v>
      </c>
      <c r="AD12" s="18" t="s">
        <v>205</v>
      </c>
      <c r="AE12" s="86">
        <v>700</v>
      </c>
    </row>
    <row r="13" spans="1:31" x14ac:dyDescent="0.25">
      <c r="A13" s="10" t="s">
        <v>80</v>
      </c>
      <c r="B13" s="112">
        <v>190.18</v>
      </c>
      <c r="C13" s="18" t="s">
        <v>81</v>
      </c>
      <c r="D13" s="13">
        <v>3989.4</v>
      </c>
      <c r="E13" s="37" t="s">
        <v>82</v>
      </c>
      <c r="F13" s="52">
        <v>200</v>
      </c>
      <c r="G13" s="37" t="s">
        <v>83</v>
      </c>
      <c r="H13" s="22">
        <v>1018.4</v>
      </c>
      <c r="I13" s="10" t="s">
        <v>58</v>
      </c>
      <c r="J13" s="22">
        <v>268.39999999999998</v>
      </c>
      <c r="K13" s="10" t="s">
        <v>40</v>
      </c>
      <c r="L13" s="65">
        <v>170.8</v>
      </c>
      <c r="M13" s="10" t="s">
        <v>85</v>
      </c>
      <c r="N13" s="11">
        <v>97.6</v>
      </c>
      <c r="O13" s="10" t="s">
        <v>85</v>
      </c>
      <c r="P13" s="11">
        <v>86.62</v>
      </c>
      <c r="Q13" s="10" t="s">
        <v>78</v>
      </c>
      <c r="R13" s="11">
        <v>445</v>
      </c>
      <c r="S13" s="15" t="s">
        <v>191</v>
      </c>
      <c r="T13" s="16">
        <v>596</v>
      </c>
      <c r="U13" s="119">
        <f t="shared" si="0"/>
        <v>8.0536912751677789</v>
      </c>
      <c r="V13" s="120">
        <v>644</v>
      </c>
      <c r="W13" s="10" t="s">
        <v>85</v>
      </c>
      <c r="X13" s="11">
        <v>86.62</v>
      </c>
      <c r="Y13" s="10" t="s">
        <v>86</v>
      </c>
      <c r="Z13" s="10">
        <v>1586</v>
      </c>
      <c r="AA13" s="10" t="s">
        <v>87</v>
      </c>
      <c r="AB13" s="10">
        <v>1000.4</v>
      </c>
      <c r="AC13" s="90">
        <v>1024.8</v>
      </c>
      <c r="AD13" s="18" t="s">
        <v>206</v>
      </c>
      <c r="AE13" s="86">
        <v>1400</v>
      </c>
    </row>
    <row r="14" spans="1:31" x14ac:dyDescent="0.25">
      <c r="A14" s="10" t="s">
        <v>88</v>
      </c>
      <c r="B14" s="13">
        <v>380.35</v>
      </c>
      <c r="C14" s="10" t="s">
        <v>89</v>
      </c>
      <c r="D14" s="13">
        <v>253.76</v>
      </c>
      <c r="E14" s="37" t="s">
        <v>83</v>
      </c>
      <c r="F14" s="52">
        <v>650</v>
      </c>
      <c r="G14" s="37" t="s">
        <v>40</v>
      </c>
      <c r="H14" s="22">
        <v>185.75</v>
      </c>
      <c r="I14" s="10" t="s">
        <v>84</v>
      </c>
      <c r="J14" s="22">
        <v>146.4</v>
      </c>
      <c r="K14" s="10" t="s">
        <v>90</v>
      </c>
      <c r="L14" s="65">
        <v>152.5</v>
      </c>
      <c r="M14" s="10" t="s">
        <v>91</v>
      </c>
      <c r="N14" s="11">
        <v>1342</v>
      </c>
      <c r="O14" s="10" t="s">
        <v>91</v>
      </c>
      <c r="P14" s="11">
        <v>1493.28</v>
      </c>
      <c r="Q14" s="10" t="s">
        <v>77</v>
      </c>
      <c r="R14" s="11">
        <v>665</v>
      </c>
      <c r="S14" s="15" t="s">
        <v>192</v>
      </c>
      <c r="T14" s="16">
        <v>1100</v>
      </c>
      <c r="U14" s="119">
        <f t="shared" si="0"/>
        <v>8</v>
      </c>
      <c r="V14" s="120">
        <v>1188</v>
      </c>
      <c r="W14" s="10" t="s">
        <v>91</v>
      </c>
      <c r="X14" s="11">
        <v>1493.28</v>
      </c>
      <c r="Y14" s="10" t="s">
        <v>92</v>
      </c>
      <c r="Z14" s="10">
        <v>128.1</v>
      </c>
      <c r="AA14" s="10" t="s">
        <v>93</v>
      </c>
      <c r="AB14" s="10">
        <v>146.4</v>
      </c>
      <c r="AC14" s="90">
        <v>158.6</v>
      </c>
      <c r="AD14" s="18" t="s">
        <v>92</v>
      </c>
      <c r="AE14" s="86">
        <v>120</v>
      </c>
    </row>
    <row r="15" spans="1:31" x14ac:dyDescent="0.25">
      <c r="A15" s="10" t="s">
        <v>94</v>
      </c>
      <c r="B15" s="13">
        <v>278.05</v>
      </c>
      <c r="C15" s="10" t="s">
        <v>95</v>
      </c>
      <c r="D15" s="13">
        <v>336.72</v>
      </c>
      <c r="E15" s="37" t="s">
        <v>70</v>
      </c>
      <c r="F15" s="52">
        <v>550</v>
      </c>
      <c r="G15" s="37" t="s">
        <v>96</v>
      </c>
      <c r="H15" s="22">
        <v>717.36</v>
      </c>
      <c r="I15" s="10" t="s">
        <v>70</v>
      </c>
      <c r="J15" s="22">
        <v>1073.5999999999999</v>
      </c>
      <c r="K15" s="10" t="s">
        <v>98</v>
      </c>
      <c r="L15" s="65">
        <v>152.5</v>
      </c>
      <c r="M15" s="10" t="s">
        <v>99</v>
      </c>
      <c r="N15" s="11">
        <v>122</v>
      </c>
      <c r="O15" s="10" t="s">
        <v>99</v>
      </c>
      <c r="P15" s="11">
        <v>101.26</v>
      </c>
      <c r="Q15" s="10" t="s">
        <v>100</v>
      </c>
      <c r="R15" s="11">
        <v>85</v>
      </c>
      <c r="S15" s="15" t="s">
        <v>89</v>
      </c>
      <c r="T15" s="16">
        <v>140</v>
      </c>
      <c r="U15" s="119">
        <f t="shared" si="0"/>
        <v>7.8571428571428612</v>
      </c>
      <c r="V15" s="120">
        <v>151</v>
      </c>
      <c r="W15" s="10" t="s">
        <v>99</v>
      </c>
      <c r="X15" s="11">
        <v>101.26</v>
      </c>
      <c r="Y15" s="10" t="s">
        <v>101</v>
      </c>
      <c r="Z15" s="10">
        <v>213.5</v>
      </c>
      <c r="AA15" s="10" t="s">
        <v>102</v>
      </c>
      <c r="AB15" s="10">
        <v>195.2</v>
      </c>
      <c r="AC15" s="90">
        <v>207.4</v>
      </c>
      <c r="AD15" s="82" t="s">
        <v>199</v>
      </c>
      <c r="AE15" s="87">
        <v>120</v>
      </c>
    </row>
    <row r="16" spans="1:31" x14ac:dyDescent="0.25">
      <c r="A16" s="10" t="s">
        <v>103</v>
      </c>
      <c r="B16" s="13">
        <v>368.82</v>
      </c>
      <c r="C16" s="10" t="s">
        <v>104</v>
      </c>
      <c r="D16" s="13">
        <v>253.76</v>
      </c>
      <c r="E16" s="37" t="s">
        <v>105</v>
      </c>
      <c r="F16" s="52">
        <v>150</v>
      </c>
      <c r="G16" s="37" t="s">
        <v>43</v>
      </c>
      <c r="H16" s="22">
        <v>128.1</v>
      </c>
      <c r="I16" s="10" t="s">
        <v>97</v>
      </c>
      <c r="J16" s="22">
        <v>695.4</v>
      </c>
      <c r="K16" s="10"/>
      <c r="L16" s="10"/>
      <c r="M16" s="10" t="s">
        <v>107</v>
      </c>
      <c r="N16" s="11">
        <v>97.6</v>
      </c>
      <c r="O16" s="10" t="s">
        <v>107</v>
      </c>
      <c r="P16" s="11">
        <v>86.62</v>
      </c>
      <c r="Q16" s="10" t="s">
        <v>108</v>
      </c>
      <c r="R16" s="11">
        <v>125</v>
      </c>
      <c r="S16" s="15" t="s">
        <v>95</v>
      </c>
      <c r="T16" s="16">
        <v>190</v>
      </c>
      <c r="U16" s="119">
        <f t="shared" si="0"/>
        <v>7.8947368421052602</v>
      </c>
      <c r="V16" s="120">
        <v>205</v>
      </c>
      <c r="W16" s="10" t="s">
        <v>107</v>
      </c>
      <c r="X16" s="11">
        <v>86.62</v>
      </c>
      <c r="Y16" s="10" t="s">
        <v>109</v>
      </c>
      <c r="Z16" s="10">
        <v>1037</v>
      </c>
      <c r="AA16" s="10" t="s">
        <v>110</v>
      </c>
      <c r="AB16" s="10">
        <v>268.39999999999998</v>
      </c>
      <c r="AC16" s="90">
        <v>292.8</v>
      </c>
    </row>
    <row r="17" spans="1:29" ht="15.75" thickBot="1" x14ac:dyDescent="0.3">
      <c r="A17" s="10"/>
      <c r="B17" s="65"/>
      <c r="C17" s="10" t="s">
        <v>111</v>
      </c>
      <c r="D17" s="13">
        <v>124.44</v>
      </c>
      <c r="E17" s="70"/>
      <c r="F17" s="46"/>
      <c r="G17" s="37"/>
      <c r="H17" s="10"/>
      <c r="I17" s="10" t="s">
        <v>106</v>
      </c>
      <c r="J17" s="22">
        <v>1122.4000000000001</v>
      </c>
      <c r="K17" s="10"/>
      <c r="L17" s="10"/>
      <c r="M17" s="10" t="s">
        <v>113</v>
      </c>
      <c r="N17" s="11">
        <v>233.5</v>
      </c>
      <c r="O17" s="10" t="s">
        <v>114</v>
      </c>
      <c r="P17" s="11">
        <v>212.28</v>
      </c>
      <c r="Q17" s="10" t="s">
        <v>115</v>
      </c>
      <c r="R17" s="11">
        <v>100</v>
      </c>
      <c r="S17" s="15" t="s">
        <v>104</v>
      </c>
      <c r="T17" s="16">
        <v>105</v>
      </c>
      <c r="U17" s="119">
        <f t="shared" si="0"/>
        <v>8.5714285714285694</v>
      </c>
      <c r="V17" s="120">
        <v>114</v>
      </c>
      <c r="W17" s="10" t="s">
        <v>114</v>
      </c>
      <c r="X17" s="11">
        <v>212.28</v>
      </c>
      <c r="Y17" s="10" t="s">
        <v>104</v>
      </c>
      <c r="Z17" s="10">
        <v>152.5</v>
      </c>
      <c r="AA17" s="10" t="s">
        <v>116</v>
      </c>
      <c r="AB17" s="10">
        <v>183</v>
      </c>
      <c r="AC17" s="22">
        <v>183</v>
      </c>
    </row>
    <row r="18" spans="1:29" x14ac:dyDescent="0.25">
      <c r="A18" s="10"/>
      <c r="B18" s="10"/>
      <c r="C18" s="10" t="s">
        <v>70</v>
      </c>
      <c r="D18" s="13">
        <v>1356.64</v>
      </c>
      <c r="G18" s="10"/>
      <c r="H18" s="10"/>
      <c r="I18" s="10" t="s">
        <v>112</v>
      </c>
      <c r="J18" s="22">
        <v>1329.8</v>
      </c>
      <c r="K18" s="73"/>
      <c r="L18" s="10"/>
      <c r="M18" s="10" t="s">
        <v>118</v>
      </c>
      <c r="N18" s="11">
        <v>1098</v>
      </c>
      <c r="O18" s="10" t="s">
        <v>119</v>
      </c>
      <c r="P18" s="11">
        <v>668.56</v>
      </c>
      <c r="Q18" s="10" t="s">
        <v>70</v>
      </c>
      <c r="R18" s="11">
        <v>600</v>
      </c>
      <c r="S18" s="15" t="s">
        <v>43</v>
      </c>
      <c r="T18" s="16">
        <v>105</v>
      </c>
      <c r="U18" s="119">
        <f t="shared" si="0"/>
        <v>8.5714285714285694</v>
      </c>
      <c r="V18" s="120">
        <v>114</v>
      </c>
      <c r="W18" s="10" t="s">
        <v>119</v>
      </c>
      <c r="X18" s="11">
        <v>668.56</v>
      </c>
      <c r="Y18" s="10" t="s">
        <v>120</v>
      </c>
      <c r="Z18" s="10">
        <v>152.5</v>
      </c>
      <c r="AA18" s="10" t="s">
        <v>121</v>
      </c>
      <c r="AB18" s="10">
        <v>244</v>
      </c>
      <c r="AC18" s="22">
        <v>244</v>
      </c>
    </row>
    <row r="19" spans="1:29" x14ac:dyDescent="0.25">
      <c r="A19" s="10" t="s">
        <v>122</v>
      </c>
      <c r="B19" s="10"/>
      <c r="C19" s="10" t="s">
        <v>43</v>
      </c>
      <c r="D19" s="13">
        <v>180.56</v>
      </c>
      <c r="G19" s="10"/>
      <c r="H19" s="9"/>
      <c r="I19" s="10" t="s">
        <v>117</v>
      </c>
      <c r="J19" s="22">
        <v>3757.6</v>
      </c>
      <c r="K19" s="10"/>
      <c r="L19" s="10"/>
      <c r="M19" s="10" t="s">
        <v>123</v>
      </c>
      <c r="N19" s="11">
        <v>549</v>
      </c>
      <c r="O19" s="10" t="s">
        <v>124</v>
      </c>
      <c r="P19" s="11">
        <v>334.28</v>
      </c>
      <c r="Q19" s="10"/>
      <c r="R19" s="10"/>
      <c r="S19" s="15" t="s">
        <v>70</v>
      </c>
      <c r="T19" s="16">
        <v>1100</v>
      </c>
      <c r="U19" s="119">
        <f t="shared" si="0"/>
        <v>8</v>
      </c>
      <c r="V19" s="120">
        <v>1188</v>
      </c>
      <c r="W19" s="10" t="s">
        <v>124</v>
      </c>
      <c r="X19" s="11">
        <v>334.28</v>
      </c>
      <c r="AA19" s="10" t="s">
        <v>125</v>
      </c>
      <c r="AB19" s="10">
        <v>976</v>
      </c>
      <c r="AC19" s="22">
        <v>976</v>
      </c>
    </row>
    <row r="20" spans="1:29" x14ac:dyDescent="0.25">
      <c r="A20" s="10"/>
      <c r="B20" s="10"/>
      <c r="C20" s="22" t="s">
        <v>126</v>
      </c>
      <c r="D20" s="13">
        <v>2341.1799999999998</v>
      </c>
      <c r="G20" s="10"/>
      <c r="H20" s="10"/>
      <c r="I20" s="10"/>
      <c r="J20" s="10"/>
      <c r="K20" s="10"/>
      <c r="L20" s="10"/>
      <c r="M20" s="10" t="s">
        <v>127</v>
      </c>
      <c r="N20" s="11">
        <v>244</v>
      </c>
      <c r="O20" s="10" t="s">
        <v>127</v>
      </c>
      <c r="P20" s="11">
        <v>217.16</v>
      </c>
      <c r="Q20" s="10"/>
      <c r="R20" s="10"/>
      <c r="S20" s="15"/>
      <c r="T20" s="15"/>
      <c r="U20" s="15"/>
      <c r="V20" s="15"/>
      <c r="W20" s="10" t="s">
        <v>127</v>
      </c>
      <c r="X20" s="11">
        <v>217.16</v>
      </c>
      <c r="AA20" s="10" t="s">
        <v>128</v>
      </c>
      <c r="AB20" s="10">
        <v>183</v>
      </c>
      <c r="AC20" s="10">
        <v>183</v>
      </c>
    </row>
    <row r="21" spans="1:29" x14ac:dyDescent="0.25">
      <c r="B21" s="10"/>
      <c r="C21" s="10" t="s">
        <v>178</v>
      </c>
      <c r="D21" s="13">
        <v>2393.64</v>
      </c>
      <c r="G21" s="10"/>
      <c r="H21" s="10"/>
      <c r="I21" s="10"/>
      <c r="J21" s="10"/>
      <c r="K21" s="10"/>
      <c r="L21" s="10"/>
      <c r="M21" s="10" t="s">
        <v>130</v>
      </c>
      <c r="N21" s="11">
        <v>1050.42</v>
      </c>
      <c r="O21" s="10" t="s">
        <v>130</v>
      </c>
      <c r="P21" s="11">
        <v>1050.42</v>
      </c>
      <c r="Q21" s="10"/>
      <c r="R21" s="10"/>
      <c r="S21" s="10"/>
      <c r="T21" s="10"/>
      <c r="U21" s="10"/>
      <c r="V21" s="10"/>
      <c r="W21" s="10" t="s">
        <v>130</v>
      </c>
      <c r="X21" s="11">
        <v>1050.42</v>
      </c>
      <c r="Y21" s="96"/>
      <c r="Z21" s="96"/>
      <c r="AA21" s="96"/>
      <c r="AB21" s="96"/>
      <c r="AC21" s="85"/>
    </row>
    <row r="22" spans="1:29" ht="18" x14ac:dyDescent="0.35">
      <c r="A22" s="10"/>
      <c r="B22" s="10"/>
      <c r="C22" s="10" t="s">
        <v>131</v>
      </c>
      <c r="D22" s="13">
        <v>64.66</v>
      </c>
      <c r="G22" s="10"/>
      <c r="H22" s="10"/>
      <c r="I22" s="10"/>
      <c r="J22" s="10"/>
      <c r="K22" s="10"/>
      <c r="L22" s="10"/>
      <c r="M22" s="10" t="s">
        <v>132</v>
      </c>
      <c r="N22" s="11">
        <v>485.56</v>
      </c>
      <c r="O22" s="10" t="s">
        <v>132</v>
      </c>
      <c r="P22" s="11">
        <v>485.56</v>
      </c>
      <c r="Q22" s="10"/>
      <c r="R22" s="10"/>
      <c r="S22" s="10"/>
      <c r="T22" s="9" t="s">
        <v>212</v>
      </c>
      <c r="U22" s="115">
        <f>AVERAGE(U8:U19)</f>
        <v>8.1819431855969285</v>
      </c>
      <c r="V22" s="10"/>
      <c r="W22" s="10" t="s">
        <v>132</v>
      </c>
      <c r="X22" s="11">
        <v>485.56</v>
      </c>
      <c r="AA22" s="25"/>
    </row>
    <row r="23" spans="1:29" ht="15.75" x14ac:dyDescent="0.3">
      <c r="A23" s="10"/>
      <c r="B23" s="10"/>
      <c r="C23" s="10" t="s">
        <v>133</v>
      </c>
      <c r="D23" s="13">
        <v>124.44</v>
      </c>
      <c r="G23" s="10"/>
      <c r="H23" s="10"/>
      <c r="I23" s="10"/>
      <c r="J23" s="10"/>
      <c r="K23" s="10"/>
      <c r="L23" s="10"/>
      <c r="M23" s="10" t="s">
        <v>134</v>
      </c>
      <c r="N23" s="11">
        <v>152.5</v>
      </c>
      <c r="O23" s="10" t="s">
        <v>134</v>
      </c>
      <c r="P23" s="11">
        <v>114.68</v>
      </c>
      <c r="Q23" s="10"/>
      <c r="R23" s="10"/>
      <c r="S23" s="10"/>
      <c r="T23" s="10"/>
      <c r="U23" s="10"/>
      <c r="V23" s="10"/>
      <c r="W23" s="10" t="s">
        <v>134</v>
      </c>
      <c r="X23" s="11">
        <v>114.68</v>
      </c>
      <c r="AA23" s="26"/>
    </row>
    <row r="24" spans="1:29" ht="15.75" x14ac:dyDescent="0.3">
      <c r="A24" s="10"/>
      <c r="B24" s="10"/>
      <c r="C24" s="10" t="s">
        <v>135</v>
      </c>
      <c r="D24" s="13">
        <v>64.66</v>
      </c>
      <c r="G24" s="10"/>
      <c r="H24" s="10"/>
      <c r="I24" s="10"/>
      <c r="J24" s="10"/>
      <c r="K24" s="10"/>
      <c r="L24" s="10"/>
      <c r="M24" s="10" t="s">
        <v>111</v>
      </c>
      <c r="N24" s="11">
        <v>76.86</v>
      </c>
      <c r="O24" s="10" t="s">
        <v>111</v>
      </c>
      <c r="P24" s="11">
        <v>76.86</v>
      </c>
      <c r="Q24" s="10"/>
      <c r="R24" s="10"/>
      <c r="S24" s="10"/>
      <c r="T24" s="10"/>
      <c r="U24" s="10"/>
      <c r="V24" s="10"/>
      <c r="W24" s="10" t="s">
        <v>111</v>
      </c>
      <c r="X24" s="11">
        <v>76.86</v>
      </c>
      <c r="AA24" s="27"/>
    </row>
    <row r="25" spans="1:29" x14ac:dyDescent="0.25">
      <c r="A25" s="9"/>
      <c r="B25" s="9"/>
      <c r="C25" s="10" t="s">
        <v>136</v>
      </c>
      <c r="D25" s="13">
        <v>92.72</v>
      </c>
      <c r="G25" s="10"/>
      <c r="H25" s="10"/>
      <c r="I25" s="10"/>
      <c r="J25" s="10"/>
      <c r="K25" s="10"/>
      <c r="L25" s="10"/>
      <c r="M25" s="10" t="s">
        <v>70</v>
      </c>
      <c r="N25" s="11">
        <v>915</v>
      </c>
      <c r="O25" s="10" t="s">
        <v>70</v>
      </c>
      <c r="P25" s="11">
        <v>829.6</v>
      </c>
      <c r="Q25" s="10"/>
      <c r="R25" s="10"/>
      <c r="S25" s="10"/>
      <c r="T25" s="10"/>
      <c r="U25" s="10"/>
      <c r="V25" s="10"/>
      <c r="W25" s="10" t="s">
        <v>70</v>
      </c>
      <c r="X25" s="11">
        <v>829.6</v>
      </c>
    </row>
    <row r="26" spans="1:29" x14ac:dyDescent="0.25">
      <c r="C26" s="10" t="s">
        <v>137</v>
      </c>
      <c r="D26" s="13">
        <v>240.34</v>
      </c>
      <c r="M26" s="10" t="s">
        <v>138</v>
      </c>
      <c r="N26" s="11">
        <v>36.6</v>
      </c>
    </row>
    <row r="27" spans="1:29" x14ac:dyDescent="0.25">
      <c r="C27" s="10" t="s">
        <v>177</v>
      </c>
      <c r="D27" s="13">
        <v>3989.4</v>
      </c>
      <c r="M27" s="10" t="s">
        <v>139</v>
      </c>
      <c r="N27" s="11">
        <v>56.12</v>
      </c>
    </row>
    <row r="28" spans="1:29" x14ac:dyDescent="0.25">
      <c r="M28" s="10" t="s">
        <v>140</v>
      </c>
      <c r="N28" s="11">
        <v>36.6</v>
      </c>
    </row>
    <row r="29" spans="1:29" x14ac:dyDescent="0.25">
      <c r="M29" s="10" t="s">
        <v>141</v>
      </c>
      <c r="N29" s="11">
        <v>36.6</v>
      </c>
    </row>
    <row r="30" spans="1:29" x14ac:dyDescent="0.25">
      <c r="M30" s="10" t="s">
        <v>142</v>
      </c>
      <c r="N30" s="11"/>
    </row>
    <row r="32" spans="1:29" x14ac:dyDescent="0.25">
      <c r="F32" s="49"/>
    </row>
  </sheetData>
  <mergeCells count="16">
    <mergeCell ref="U3:V3"/>
    <mergeCell ref="M6:N6"/>
    <mergeCell ref="W6:X6"/>
    <mergeCell ref="Y6:Z6"/>
    <mergeCell ref="AA6:AC6"/>
    <mergeCell ref="AD6:AE6"/>
    <mergeCell ref="Y21:AB21"/>
    <mergeCell ref="AB3:AC3"/>
    <mergeCell ref="Y5:Z5"/>
    <mergeCell ref="AA5:AC5"/>
    <mergeCell ref="AD5:AE5"/>
    <mergeCell ref="A6:B6"/>
    <mergeCell ref="C6:D6"/>
    <mergeCell ref="E6:F6"/>
    <mergeCell ref="G6:H6"/>
    <mergeCell ref="I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CEC7-7EF3-45E8-9B8B-DA327389048A}">
  <dimension ref="A1:AH32"/>
  <sheetViews>
    <sheetView workbookViewId="0">
      <selection activeCell="A6" sqref="A6:D6"/>
    </sheetView>
  </sheetViews>
  <sheetFormatPr baseColWidth="10" defaultColWidth="9.140625" defaultRowHeight="15" x14ac:dyDescent="0.25"/>
  <cols>
    <col min="1" max="1" width="37.42578125" customWidth="1"/>
    <col min="2" max="6" width="34.5703125" customWidth="1"/>
    <col min="7" max="7" width="22.7109375" customWidth="1"/>
    <col min="8" max="8" width="18.85546875" customWidth="1"/>
    <col min="9" max="9" width="20.7109375" customWidth="1"/>
    <col min="10" max="10" width="21.28515625" customWidth="1"/>
    <col min="11" max="11" width="25.85546875" customWidth="1"/>
    <col min="12" max="12" width="29.5703125" customWidth="1"/>
    <col min="13" max="13" width="43.85546875" customWidth="1"/>
    <col min="14" max="14" width="27" customWidth="1"/>
    <col min="15" max="15" width="1.5703125" customWidth="1"/>
    <col min="16" max="16" width="26.7109375" customWidth="1"/>
    <col min="17" max="17" width="33" customWidth="1"/>
    <col min="18" max="18" width="13.28515625" customWidth="1"/>
    <col min="19" max="19" width="12.5703125" customWidth="1"/>
    <col min="20" max="20" width="24.140625" customWidth="1"/>
    <col min="21" max="21" width="15.85546875" customWidth="1"/>
    <col min="22" max="22" width="24.140625" customWidth="1"/>
    <col min="23" max="23" width="11.140625" customWidth="1"/>
    <col min="24" max="24" width="27" customWidth="1"/>
    <col min="25" max="25" width="39.5703125" customWidth="1"/>
    <col min="26" max="26" width="23.28515625" customWidth="1"/>
    <col min="27" max="27" width="19.140625" customWidth="1"/>
    <col min="28" max="28" width="19.28515625" customWidth="1"/>
    <col min="29" max="29" width="14.85546875" customWidth="1"/>
    <col min="30" max="30" width="25.7109375" customWidth="1"/>
    <col min="31" max="31" width="21.85546875" customWidth="1"/>
    <col min="32" max="32" width="27.85546875" customWidth="1"/>
    <col min="33" max="33" width="23.7109375" customWidth="1"/>
    <col min="34" max="34" width="19.28515625" customWidth="1"/>
  </cols>
  <sheetData>
    <row r="1" spans="1:34" x14ac:dyDescent="0.25">
      <c r="A1" s="3" t="s">
        <v>0</v>
      </c>
      <c r="B1" s="3"/>
      <c r="C1" s="3"/>
      <c r="D1" s="3"/>
    </row>
    <row r="2" spans="1:34" ht="15.75" thickBot="1" x14ac:dyDescent="0.3"/>
    <row r="3" spans="1:34" ht="15.75" thickBot="1" x14ac:dyDescent="0.3">
      <c r="A3" s="2" t="s">
        <v>1</v>
      </c>
      <c r="B3" s="29"/>
      <c r="C3" s="29"/>
      <c r="D3" s="29"/>
      <c r="E3" s="2" t="s">
        <v>1</v>
      </c>
      <c r="F3" s="32">
        <v>0.4</v>
      </c>
      <c r="G3" s="2" t="s">
        <v>1</v>
      </c>
      <c r="H3" s="51">
        <v>0.25</v>
      </c>
      <c r="I3" s="29" t="s">
        <v>1</v>
      </c>
      <c r="J3" s="4" t="s">
        <v>2</v>
      </c>
      <c r="K3" s="2" t="s">
        <v>1</v>
      </c>
      <c r="L3" s="4">
        <v>1</v>
      </c>
      <c r="M3" s="2" t="s">
        <v>1</v>
      </c>
      <c r="N3" s="97" t="s">
        <v>2</v>
      </c>
      <c r="O3" s="97"/>
      <c r="P3" s="98"/>
      <c r="Q3" s="2" t="s">
        <v>1</v>
      </c>
      <c r="R3" s="29"/>
      <c r="S3" s="4">
        <v>0.25</v>
      </c>
      <c r="T3" s="2" t="s">
        <v>1</v>
      </c>
      <c r="U3" s="8" t="s">
        <v>2</v>
      </c>
      <c r="V3" s="2" t="s">
        <v>1</v>
      </c>
      <c r="W3" s="4">
        <v>1</v>
      </c>
      <c r="X3" s="2" t="s">
        <v>1</v>
      </c>
      <c r="Y3" s="8">
        <v>0.15</v>
      </c>
      <c r="Z3" s="2" t="s">
        <v>1</v>
      </c>
      <c r="AA3" s="8" t="s">
        <v>2</v>
      </c>
      <c r="AB3" s="2" t="s">
        <v>1</v>
      </c>
      <c r="AC3" s="8" t="s">
        <v>2</v>
      </c>
      <c r="AD3" s="2" t="s">
        <v>1</v>
      </c>
      <c r="AE3" s="99" t="s">
        <v>2</v>
      </c>
      <c r="AF3" s="100"/>
      <c r="AG3" s="2" t="s">
        <v>1</v>
      </c>
      <c r="AH3" s="81">
        <v>1</v>
      </c>
    </row>
    <row r="4" spans="1:34" ht="15.75" thickBot="1" x14ac:dyDescent="0.3">
      <c r="A4" s="1" t="s">
        <v>3</v>
      </c>
      <c r="G4" s="38"/>
    </row>
    <row r="5" spans="1:34" ht="15.75" thickBot="1" x14ac:dyDescent="0.3">
      <c r="A5" s="2" t="s">
        <v>4</v>
      </c>
      <c r="B5" s="29" t="s">
        <v>210</v>
      </c>
      <c r="C5" s="29"/>
      <c r="D5" s="29"/>
      <c r="E5" s="2" t="s">
        <v>4</v>
      </c>
      <c r="F5" s="29" t="s">
        <v>6</v>
      </c>
      <c r="G5" s="2" t="s">
        <v>4</v>
      </c>
      <c r="H5" s="7" t="s">
        <v>7</v>
      </c>
      <c r="I5" s="29" t="s">
        <v>4</v>
      </c>
      <c r="J5" s="7" t="s">
        <v>194</v>
      </c>
      <c r="K5" s="2" t="s">
        <v>4</v>
      </c>
      <c r="L5" s="7" t="s">
        <v>8</v>
      </c>
      <c r="M5" s="2" t="s">
        <v>9</v>
      </c>
      <c r="N5" s="7" t="s">
        <v>8</v>
      </c>
      <c r="O5" s="7"/>
      <c r="P5" s="72" t="s">
        <v>179</v>
      </c>
      <c r="Q5" s="2" t="s">
        <v>4</v>
      </c>
      <c r="R5" s="29"/>
      <c r="S5" s="7" t="s">
        <v>10</v>
      </c>
      <c r="T5" s="2" t="s">
        <v>11</v>
      </c>
      <c r="U5" s="7" t="s">
        <v>8</v>
      </c>
      <c r="V5" s="2" t="s">
        <v>4</v>
      </c>
      <c r="W5" s="7" t="s">
        <v>8</v>
      </c>
      <c r="X5" s="2" t="s">
        <v>4</v>
      </c>
      <c r="Y5" s="7" t="s">
        <v>193</v>
      </c>
      <c r="Z5" s="2" t="s">
        <v>13</v>
      </c>
      <c r="AA5" s="7" t="s">
        <v>8</v>
      </c>
      <c r="AB5" s="101" t="s">
        <v>14</v>
      </c>
      <c r="AC5" s="102"/>
      <c r="AD5" s="101" t="s">
        <v>4</v>
      </c>
      <c r="AE5" s="103"/>
      <c r="AF5" s="103"/>
      <c r="AG5" s="99" t="s">
        <v>4</v>
      </c>
      <c r="AH5" s="104"/>
    </row>
    <row r="6" spans="1:34" x14ac:dyDescent="0.25">
      <c r="A6" s="95" t="s">
        <v>15</v>
      </c>
      <c r="B6" s="95"/>
      <c r="C6" s="95"/>
      <c r="D6" s="95"/>
      <c r="E6" s="105" t="s">
        <v>16</v>
      </c>
      <c r="F6" s="105"/>
      <c r="G6" s="106" t="s">
        <v>17</v>
      </c>
      <c r="H6" s="105"/>
      <c r="I6" s="95" t="s">
        <v>18</v>
      </c>
      <c r="J6" s="95"/>
      <c r="K6" s="105" t="s">
        <v>19</v>
      </c>
      <c r="L6" s="105"/>
      <c r="M6" s="17" t="s">
        <v>20</v>
      </c>
      <c r="N6" s="17"/>
      <c r="O6" s="17"/>
      <c r="P6" s="17"/>
      <c r="Q6" s="95" t="s">
        <v>21</v>
      </c>
      <c r="R6" s="95"/>
      <c r="S6" s="17"/>
      <c r="T6" s="17" t="s">
        <v>22</v>
      </c>
      <c r="U6" s="17"/>
      <c r="V6" s="17" t="s">
        <v>23</v>
      </c>
      <c r="W6" s="17"/>
      <c r="X6" s="17" t="s">
        <v>185</v>
      </c>
      <c r="Y6" s="17"/>
      <c r="Z6" s="95" t="s">
        <v>25</v>
      </c>
      <c r="AA6" s="95"/>
      <c r="AB6" s="95" t="s">
        <v>26</v>
      </c>
      <c r="AC6" s="95"/>
      <c r="AD6" s="95" t="s">
        <v>27</v>
      </c>
      <c r="AE6" s="95"/>
      <c r="AF6" s="95"/>
      <c r="AG6" s="95" t="s">
        <v>201</v>
      </c>
      <c r="AH6" s="95"/>
    </row>
    <row r="7" spans="1:34" x14ac:dyDescent="0.25">
      <c r="A7" s="9" t="s">
        <v>28</v>
      </c>
      <c r="B7" s="33" t="s">
        <v>30</v>
      </c>
      <c r="C7" s="30" t="s">
        <v>196</v>
      </c>
      <c r="D7" s="79" t="s">
        <v>180</v>
      </c>
      <c r="E7" s="9" t="s">
        <v>28</v>
      </c>
      <c r="F7" s="33" t="s">
        <v>30</v>
      </c>
      <c r="G7" s="40" t="s">
        <v>28</v>
      </c>
      <c r="H7" s="53" t="s">
        <v>30</v>
      </c>
      <c r="I7" s="36" t="s">
        <v>28</v>
      </c>
      <c r="J7" s="9" t="s">
        <v>195</v>
      </c>
      <c r="K7" s="9" t="s">
        <v>28</v>
      </c>
      <c r="L7" s="9" t="s">
        <v>197</v>
      </c>
      <c r="M7" s="9" t="s">
        <v>28</v>
      </c>
      <c r="N7" s="9" t="s">
        <v>31</v>
      </c>
      <c r="O7" s="30" t="s">
        <v>181</v>
      </c>
      <c r="P7" s="9" t="s">
        <v>180</v>
      </c>
      <c r="Q7" s="9" t="s">
        <v>28</v>
      </c>
      <c r="R7" s="9" t="s">
        <v>31</v>
      </c>
      <c r="S7" s="63" t="s">
        <v>29</v>
      </c>
      <c r="T7" s="9" t="s">
        <v>28</v>
      </c>
      <c r="U7" s="9" t="s">
        <v>31</v>
      </c>
      <c r="V7" s="9" t="s">
        <v>28</v>
      </c>
      <c r="W7" s="9" t="s">
        <v>31</v>
      </c>
      <c r="X7" s="9" t="s">
        <v>28</v>
      </c>
      <c r="Y7" s="9" t="s">
        <v>186</v>
      </c>
      <c r="Z7" s="9" t="s">
        <v>28</v>
      </c>
      <c r="AA7" s="9" t="s">
        <v>31</v>
      </c>
      <c r="AB7" s="9" t="s">
        <v>32</v>
      </c>
      <c r="AC7" s="9" t="s">
        <v>33</v>
      </c>
      <c r="AD7" s="9" t="s">
        <v>32</v>
      </c>
      <c r="AE7" s="9" t="s">
        <v>207</v>
      </c>
      <c r="AF7" s="9" t="s">
        <v>208</v>
      </c>
      <c r="AG7" s="9" t="s">
        <v>32</v>
      </c>
      <c r="AH7" s="9" t="s">
        <v>33</v>
      </c>
    </row>
    <row r="8" spans="1:34" x14ac:dyDescent="0.25">
      <c r="A8" s="10" t="s">
        <v>36</v>
      </c>
      <c r="B8" s="13">
        <v>290.27</v>
      </c>
      <c r="C8" s="91">
        <f>D8*100/B8-100</f>
        <v>2.2392944499948442</v>
      </c>
      <c r="D8" s="14">
        <v>296.77</v>
      </c>
      <c r="E8" s="10" t="s">
        <v>37</v>
      </c>
      <c r="F8" s="65">
        <v>145.18</v>
      </c>
      <c r="G8" s="41" t="s">
        <v>38</v>
      </c>
      <c r="H8" s="52">
        <v>100</v>
      </c>
      <c r="I8" s="37" t="s">
        <v>39</v>
      </c>
      <c r="J8" s="22">
        <v>108.89</v>
      </c>
      <c r="K8" s="10" t="s">
        <v>198</v>
      </c>
      <c r="L8" s="22">
        <v>140.30000000000001</v>
      </c>
      <c r="M8" s="10" t="s">
        <v>41</v>
      </c>
      <c r="N8" s="11">
        <v>103.7</v>
      </c>
      <c r="O8" s="57">
        <f t="shared" ref="O8:O15" si="0">P8*100/N8-100</f>
        <v>17.647058823529406</v>
      </c>
      <c r="P8" s="65">
        <v>122</v>
      </c>
      <c r="Q8" s="10" t="s">
        <v>42</v>
      </c>
      <c r="R8" s="11">
        <v>86.62</v>
      </c>
      <c r="S8" s="11">
        <v>97.6</v>
      </c>
      <c r="T8" s="10" t="s">
        <v>42</v>
      </c>
      <c r="U8" s="11">
        <v>86.62</v>
      </c>
      <c r="V8" s="10" t="s">
        <v>43</v>
      </c>
      <c r="W8" s="11">
        <v>90</v>
      </c>
      <c r="X8" s="10" t="s">
        <v>187</v>
      </c>
      <c r="Y8" s="11">
        <v>105</v>
      </c>
      <c r="Z8" s="10" t="s">
        <v>42</v>
      </c>
      <c r="AA8" s="11">
        <v>86.62</v>
      </c>
      <c r="AB8" s="10" t="s">
        <v>39</v>
      </c>
      <c r="AC8" s="10">
        <v>122</v>
      </c>
      <c r="AD8" s="10" t="s">
        <v>44</v>
      </c>
      <c r="AE8" s="10">
        <v>87.84</v>
      </c>
      <c r="AF8" s="90">
        <v>91.5</v>
      </c>
      <c r="AG8" s="18" t="s">
        <v>43</v>
      </c>
      <c r="AH8" s="86">
        <v>100</v>
      </c>
    </row>
    <row r="9" spans="1:34" x14ac:dyDescent="0.25">
      <c r="A9" s="10" t="s">
        <v>45</v>
      </c>
      <c r="B9" s="13">
        <v>405.83</v>
      </c>
      <c r="C9" s="91">
        <f t="shared" ref="C9:C16" si="1">D9*100/B9-100</f>
        <v>2.239854126111922</v>
      </c>
      <c r="D9" s="14">
        <v>414.92</v>
      </c>
      <c r="E9" s="10" t="s">
        <v>46</v>
      </c>
      <c r="F9" s="65">
        <v>196.42</v>
      </c>
      <c r="G9" s="41" t="s">
        <v>47</v>
      </c>
      <c r="H9" s="52">
        <v>60</v>
      </c>
      <c r="I9" s="37" t="s">
        <v>48</v>
      </c>
      <c r="J9" s="22">
        <v>147.32</v>
      </c>
      <c r="K9" t="s">
        <v>199</v>
      </c>
      <c r="L9" s="22">
        <v>219.6</v>
      </c>
      <c r="M9" s="10" t="s">
        <v>50</v>
      </c>
      <c r="N9" s="11">
        <v>146.4</v>
      </c>
      <c r="O9" s="57">
        <f t="shared" si="0"/>
        <v>16.666666666666657</v>
      </c>
      <c r="P9" s="65">
        <v>170.8</v>
      </c>
      <c r="Q9" s="10" t="s">
        <v>51</v>
      </c>
      <c r="R9" s="11">
        <v>129.32</v>
      </c>
      <c r="S9" s="11">
        <v>146.4</v>
      </c>
      <c r="T9" s="10" t="s">
        <v>51</v>
      </c>
      <c r="U9" s="11">
        <v>129.32</v>
      </c>
      <c r="V9" s="10" t="s">
        <v>52</v>
      </c>
      <c r="W9" s="11">
        <v>90</v>
      </c>
      <c r="X9" s="10" t="s">
        <v>188</v>
      </c>
      <c r="Y9" s="11">
        <v>160</v>
      </c>
      <c r="Z9" s="10" t="s">
        <v>51</v>
      </c>
      <c r="AA9" s="11">
        <v>129.32</v>
      </c>
      <c r="AB9" s="10" t="s">
        <v>48</v>
      </c>
      <c r="AC9" s="10">
        <v>146.4</v>
      </c>
      <c r="AD9" s="10" t="s">
        <v>53</v>
      </c>
      <c r="AE9" s="10">
        <v>106.14</v>
      </c>
      <c r="AF9" s="90">
        <v>113.46</v>
      </c>
      <c r="AG9" s="18" t="s">
        <v>202</v>
      </c>
      <c r="AH9" s="86">
        <v>120</v>
      </c>
    </row>
    <row r="10" spans="1:34" x14ac:dyDescent="0.25">
      <c r="A10" s="10" t="s">
        <v>54</v>
      </c>
      <c r="B10" s="13">
        <v>435.42</v>
      </c>
      <c r="C10" s="91">
        <f t="shared" si="1"/>
        <v>2.2392173074273103</v>
      </c>
      <c r="D10" s="14">
        <v>445.17</v>
      </c>
      <c r="E10" s="10" t="s">
        <v>54</v>
      </c>
      <c r="F10" s="65">
        <v>506.3</v>
      </c>
      <c r="G10" s="41" t="s">
        <v>55</v>
      </c>
      <c r="H10" s="52">
        <v>90</v>
      </c>
      <c r="I10" s="37" t="s">
        <v>56</v>
      </c>
      <c r="J10" s="22">
        <v>294.63</v>
      </c>
      <c r="K10" s="10" t="s">
        <v>49</v>
      </c>
      <c r="L10" s="22">
        <v>114.68</v>
      </c>
      <c r="M10" s="10" t="s">
        <v>58</v>
      </c>
      <c r="N10" s="11">
        <v>305</v>
      </c>
      <c r="O10" s="34">
        <f t="shared" si="0"/>
        <v>16</v>
      </c>
      <c r="P10" s="65">
        <v>353.8</v>
      </c>
      <c r="Q10" s="10" t="s">
        <v>59</v>
      </c>
      <c r="R10" s="11">
        <v>167.14</v>
      </c>
      <c r="S10" s="11">
        <v>219.6</v>
      </c>
      <c r="T10" s="10" t="s">
        <v>59</v>
      </c>
      <c r="U10" s="11">
        <v>167.14</v>
      </c>
      <c r="V10" s="10" t="s">
        <v>60</v>
      </c>
      <c r="W10" s="11">
        <v>100</v>
      </c>
      <c r="X10" s="10" t="s">
        <v>189</v>
      </c>
      <c r="Y10" s="11">
        <v>195</v>
      </c>
      <c r="Z10" s="10" t="s">
        <v>59</v>
      </c>
      <c r="AA10" s="11">
        <v>167.14</v>
      </c>
      <c r="AB10" s="10" t="s">
        <v>56</v>
      </c>
      <c r="AC10" s="10">
        <v>427</v>
      </c>
      <c r="AD10" s="10" t="s">
        <v>61</v>
      </c>
      <c r="AE10" s="10">
        <v>231.79999999999998</v>
      </c>
      <c r="AF10" s="90">
        <v>244</v>
      </c>
      <c r="AG10" s="18" t="s">
        <v>203</v>
      </c>
      <c r="AH10" s="86">
        <v>150</v>
      </c>
    </row>
    <row r="11" spans="1:34" x14ac:dyDescent="0.25">
      <c r="A11" s="10" t="s">
        <v>62</v>
      </c>
      <c r="B11" s="13">
        <v>1452.81</v>
      </c>
      <c r="C11" s="91">
        <f t="shared" si="1"/>
        <v>2.2397973582230293</v>
      </c>
      <c r="D11" s="14">
        <v>1485.35</v>
      </c>
      <c r="E11" s="10" t="s">
        <v>63</v>
      </c>
      <c r="F11" s="65">
        <v>1111.42</v>
      </c>
      <c r="G11" s="41" t="s">
        <v>57</v>
      </c>
      <c r="H11" s="52">
        <v>120</v>
      </c>
      <c r="I11" s="37" t="s">
        <v>64</v>
      </c>
      <c r="J11" s="22">
        <v>236.99</v>
      </c>
      <c r="K11" s="10" t="s">
        <v>57</v>
      </c>
      <c r="L11" s="22">
        <v>114.68</v>
      </c>
      <c r="M11" s="10" t="s">
        <v>66</v>
      </c>
      <c r="N11" s="11">
        <v>829.6</v>
      </c>
      <c r="O11" s="57">
        <f t="shared" si="0"/>
        <v>15.441176470588232</v>
      </c>
      <c r="P11" s="65">
        <v>957.7</v>
      </c>
      <c r="Q11" s="10" t="s">
        <v>67</v>
      </c>
      <c r="R11" s="11">
        <v>86.62</v>
      </c>
      <c r="S11" s="11">
        <v>97.6</v>
      </c>
      <c r="T11" s="10" t="s">
        <v>67</v>
      </c>
      <c r="U11" s="11">
        <v>86.62</v>
      </c>
      <c r="V11" s="10" t="s">
        <v>56</v>
      </c>
      <c r="W11" s="11">
        <v>200</v>
      </c>
      <c r="X11" s="10" t="s">
        <v>190</v>
      </c>
      <c r="Y11" s="11">
        <v>300</v>
      </c>
      <c r="Z11" s="10" t="s">
        <v>67</v>
      </c>
      <c r="AA11" s="11">
        <v>86.62</v>
      </c>
      <c r="AB11" s="10" t="s">
        <v>68</v>
      </c>
      <c r="AC11" s="10">
        <v>488</v>
      </c>
      <c r="AD11" s="10" t="s">
        <v>69</v>
      </c>
      <c r="AE11" s="10">
        <v>463.59999999999997</v>
      </c>
      <c r="AF11" s="22">
        <v>463.6</v>
      </c>
      <c r="AG11" s="18" t="s">
        <v>204</v>
      </c>
      <c r="AH11" s="86">
        <v>300</v>
      </c>
    </row>
    <row r="12" spans="1:34" x14ac:dyDescent="0.25">
      <c r="A12" s="10" t="s">
        <v>70</v>
      </c>
      <c r="B12" s="13">
        <v>2071.42</v>
      </c>
      <c r="C12" s="91">
        <f t="shared" si="1"/>
        <v>2.2400092690038775</v>
      </c>
      <c r="D12" s="14">
        <v>2117.8200000000002</v>
      </c>
      <c r="E12" s="10" t="s">
        <v>71</v>
      </c>
      <c r="F12" s="13">
        <v>1836.1</v>
      </c>
      <c r="G12" s="37" t="s">
        <v>72</v>
      </c>
      <c r="H12" s="52">
        <v>200</v>
      </c>
      <c r="I12" s="37" t="s">
        <v>73</v>
      </c>
      <c r="J12" s="22">
        <v>653.30999999999995</v>
      </c>
      <c r="K12" s="10" t="s">
        <v>65</v>
      </c>
      <c r="L12" s="22">
        <v>128.1</v>
      </c>
      <c r="M12" s="10" t="s">
        <v>74</v>
      </c>
      <c r="N12" s="11">
        <v>1018.7</v>
      </c>
      <c r="O12" s="57">
        <f t="shared" si="0"/>
        <v>14.970059880239518</v>
      </c>
      <c r="P12" s="65">
        <v>1171.2</v>
      </c>
      <c r="Q12" s="10" t="s">
        <v>75</v>
      </c>
      <c r="R12" s="11">
        <v>114.68</v>
      </c>
      <c r="S12" s="11">
        <v>152.5</v>
      </c>
      <c r="T12" s="10" t="s">
        <v>75</v>
      </c>
      <c r="U12" s="11">
        <v>114.68</v>
      </c>
      <c r="V12" s="10" t="s">
        <v>76</v>
      </c>
      <c r="W12" s="11">
        <v>180</v>
      </c>
      <c r="X12" s="10" t="s">
        <v>68</v>
      </c>
      <c r="Y12" s="11">
        <v>180</v>
      </c>
      <c r="Z12" s="10" t="s">
        <v>75</v>
      </c>
      <c r="AA12" s="11">
        <v>114.68</v>
      </c>
      <c r="AB12" s="10" t="s">
        <v>78</v>
      </c>
      <c r="AC12" s="10">
        <v>1098</v>
      </c>
      <c r="AD12" s="10" t="s">
        <v>79</v>
      </c>
      <c r="AE12" s="10">
        <v>829.6</v>
      </c>
      <c r="AF12" s="90">
        <v>878.4</v>
      </c>
      <c r="AG12" s="18" t="s">
        <v>205</v>
      </c>
      <c r="AH12" s="86">
        <v>700</v>
      </c>
    </row>
    <row r="13" spans="1:34" x14ac:dyDescent="0.25">
      <c r="A13" s="10" t="s">
        <v>80</v>
      </c>
      <c r="B13" s="13">
        <v>186.01</v>
      </c>
      <c r="C13" s="91">
        <f t="shared" si="1"/>
        <v>2.2418149561851521</v>
      </c>
      <c r="D13" s="94">
        <v>190.18</v>
      </c>
      <c r="E13" s="18" t="s">
        <v>81</v>
      </c>
      <c r="F13" s="13">
        <v>3989.4</v>
      </c>
      <c r="G13" s="37" t="s">
        <v>82</v>
      </c>
      <c r="H13" s="52">
        <v>200</v>
      </c>
      <c r="I13" s="37" t="s">
        <v>83</v>
      </c>
      <c r="J13" s="22">
        <v>1018.4</v>
      </c>
      <c r="K13" s="10" t="s">
        <v>58</v>
      </c>
      <c r="L13" s="22">
        <v>268.39999999999998</v>
      </c>
      <c r="M13" s="10" t="s">
        <v>40</v>
      </c>
      <c r="N13" s="11">
        <v>146.4</v>
      </c>
      <c r="O13" s="57">
        <f t="shared" si="0"/>
        <v>16.666666666666657</v>
      </c>
      <c r="P13" s="65">
        <v>170.8</v>
      </c>
      <c r="Q13" s="10" t="s">
        <v>85</v>
      </c>
      <c r="R13" s="11">
        <v>86.62</v>
      </c>
      <c r="S13" s="11">
        <v>97.6</v>
      </c>
      <c r="T13" s="10" t="s">
        <v>85</v>
      </c>
      <c r="U13" s="11">
        <v>86.62</v>
      </c>
      <c r="V13" s="10" t="s">
        <v>78</v>
      </c>
      <c r="W13" s="11">
        <v>445</v>
      </c>
      <c r="X13" s="10" t="s">
        <v>191</v>
      </c>
      <c r="Y13" s="11">
        <v>596</v>
      </c>
      <c r="Z13" s="10" t="s">
        <v>85</v>
      </c>
      <c r="AA13" s="11">
        <v>86.62</v>
      </c>
      <c r="AB13" s="10" t="s">
        <v>86</v>
      </c>
      <c r="AC13" s="10">
        <v>1586</v>
      </c>
      <c r="AD13" s="10" t="s">
        <v>87</v>
      </c>
      <c r="AE13" s="10">
        <v>1000.4</v>
      </c>
      <c r="AF13" s="90">
        <v>1024.8</v>
      </c>
      <c r="AG13" s="18" t="s">
        <v>206</v>
      </c>
      <c r="AH13" s="86">
        <v>1400</v>
      </c>
    </row>
    <row r="14" spans="1:34" x14ac:dyDescent="0.25">
      <c r="A14" s="10" t="s">
        <v>88</v>
      </c>
      <c r="B14" s="13">
        <v>372.02</v>
      </c>
      <c r="C14" s="91">
        <f t="shared" si="1"/>
        <v>2.2391269286597577</v>
      </c>
      <c r="D14" s="14">
        <v>380.35</v>
      </c>
      <c r="E14" s="10" t="s">
        <v>89</v>
      </c>
      <c r="F14" s="13">
        <v>253.76</v>
      </c>
      <c r="G14" s="37" t="s">
        <v>83</v>
      </c>
      <c r="H14" s="52">
        <v>650</v>
      </c>
      <c r="I14" s="37" t="s">
        <v>40</v>
      </c>
      <c r="J14" s="22">
        <v>185.75</v>
      </c>
      <c r="K14" s="10" t="s">
        <v>84</v>
      </c>
      <c r="L14" s="22">
        <v>146.4</v>
      </c>
      <c r="M14" s="10" t="s">
        <v>90</v>
      </c>
      <c r="N14" s="11">
        <v>134.19999999999999</v>
      </c>
      <c r="O14" s="57">
        <f t="shared" si="0"/>
        <v>13.63636363636364</v>
      </c>
      <c r="P14" s="65">
        <v>152.5</v>
      </c>
      <c r="Q14" s="10" t="s">
        <v>91</v>
      </c>
      <c r="R14" s="11">
        <v>1493.28</v>
      </c>
      <c r="S14" s="11">
        <v>1342</v>
      </c>
      <c r="T14" s="10" t="s">
        <v>91</v>
      </c>
      <c r="U14" s="11">
        <v>1493.28</v>
      </c>
      <c r="V14" s="10" t="s">
        <v>77</v>
      </c>
      <c r="W14" s="11">
        <v>665</v>
      </c>
      <c r="X14" s="10" t="s">
        <v>192</v>
      </c>
      <c r="Y14" s="11">
        <v>1100</v>
      </c>
      <c r="Z14" s="10" t="s">
        <v>91</v>
      </c>
      <c r="AA14" s="11">
        <v>1493.28</v>
      </c>
      <c r="AB14" s="10" t="s">
        <v>92</v>
      </c>
      <c r="AC14" s="10">
        <v>128.1</v>
      </c>
      <c r="AD14" s="10" t="s">
        <v>93</v>
      </c>
      <c r="AE14" s="10">
        <v>146.4</v>
      </c>
      <c r="AF14" s="90">
        <v>158.6</v>
      </c>
      <c r="AG14" s="18" t="s">
        <v>92</v>
      </c>
      <c r="AH14" s="86">
        <v>120</v>
      </c>
    </row>
    <row r="15" spans="1:34" x14ac:dyDescent="0.25">
      <c r="A15" s="10" t="s">
        <v>94</v>
      </c>
      <c r="B15" s="13">
        <v>271.95999999999998</v>
      </c>
      <c r="C15" s="91">
        <f t="shared" si="1"/>
        <v>2.2392998970436935</v>
      </c>
      <c r="D15" s="14">
        <v>278.05</v>
      </c>
      <c r="E15" s="10" t="s">
        <v>95</v>
      </c>
      <c r="F15" s="13">
        <v>336.72</v>
      </c>
      <c r="G15" s="37" t="s">
        <v>70</v>
      </c>
      <c r="H15" s="52">
        <v>550</v>
      </c>
      <c r="I15" s="37" t="s">
        <v>96</v>
      </c>
      <c r="J15" s="22">
        <v>717.36</v>
      </c>
      <c r="K15" s="10" t="s">
        <v>70</v>
      </c>
      <c r="L15" s="22">
        <v>1073.5999999999999</v>
      </c>
      <c r="M15" s="10" t="s">
        <v>98</v>
      </c>
      <c r="N15" s="11">
        <v>134.19999999999999</v>
      </c>
      <c r="O15" s="57">
        <f t="shared" si="0"/>
        <v>13.63636363636364</v>
      </c>
      <c r="P15" s="65">
        <v>152.5</v>
      </c>
      <c r="Q15" s="10" t="s">
        <v>99</v>
      </c>
      <c r="R15" s="11">
        <v>101.26</v>
      </c>
      <c r="S15" s="11">
        <v>122</v>
      </c>
      <c r="T15" s="10" t="s">
        <v>99</v>
      </c>
      <c r="U15" s="11">
        <v>101.26</v>
      </c>
      <c r="V15" s="10" t="s">
        <v>100</v>
      </c>
      <c r="W15" s="11">
        <v>85</v>
      </c>
      <c r="X15" s="10" t="s">
        <v>89</v>
      </c>
      <c r="Y15" s="11">
        <v>140</v>
      </c>
      <c r="Z15" s="10" t="s">
        <v>99</v>
      </c>
      <c r="AA15" s="11">
        <v>101.26</v>
      </c>
      <c r="AB15" s="10" t="s">
        <v>101</v>
      </c>
      <c r="AC15" s="10">
        <v>213.5</v>
      </c>
      <c r="AD15" s="10" t="s">
        <v>102</v>
      </c>
      <c r="AE15" s="10">
        <v>195.2</v>
      </c>
      <c r="AF15" s="90">
        <v>207.4</v>
      </c>
      <c r="AG15" s="82" t="s">
        <v>199</v>
      </c>
      <c r="AH15" s="87">
        <v>120</v>
      </c>
    </row>
    <row r="16" spans="1:34" x14ac:dyDescent="0.25">
      <c r="A16" s="10" t="s">
        <v>103</v>
      </c>
      <c r="B16" s="13">
        <v>360.74</v>
      </c>
      <c r="C16" s="91">
        <f t="shared" si="1"/>
        <v>2.2398403282142283</v>
      </c>
      <c r="D16" s="14">
        <v>368.82</v>
      </c>
      <c r="E16" s="10" t="s">
        <v>104</v>
      </c>
      <c r="F16" s="13">
        <v>253.76</v>
      </c>
      <c r="G16" s="37" t="s">
        <v>105</v>
      </c>
      <c r="H16" s="52">
        <v>150</v>
      </c>
      <c r="I16" s="37" t="s">
        <v>43</v>
      </c>
      <c r="J16" s="22">
        <v>128.1</v>
      </c>
      <c r="K16" s="10" t="s">
        <v>97</v>
      </c>
      <c r="L16" s="22">
        <v>695.4</v>
      </c>
      <c r="M16" s="10"/>
      <c r="N16" s="10"/>
      <c r="O16" s="10"/>
      <c r="P16" s="10"/>
      <c r="Q16" s="10" t="s">
        <v>107</v>
      </c>
      <c r="R16" s="11">
        <v>86.62</v>
      </c>
      <c r="S16" s="11">
        <v>97.6</v>
      </c>
      <c r="T16" s="10" t="s">
        <v>107</v>
      </c>
      <c r="U16" s="11">
        <v>86.62</v>
      </c>
      <c r="V16" s="10" t="s">
        <v>108</v>
      </c>
      <c r="W16" s="11">
        <v>125</v>
      </c>
      <c r="X16" s="10" t="s">
        <v>95</v>
      </c>
      <c r="Y16" s="11">
        <v>190</v>
      </c>
      <c r="Z16" s="10" t="s">
        <v>107</v>
      </c>
      <c r="AA16" s="11">
        <v>86.62</v>
      </c>
      <c r="AB16" s="10" t="s">
        <v>109</v>
      </c>
      <c r="AC16" s="10">
        <v>1037</v>
      </c>
      <c r="AD16" s="10" t="s">
        <v>110</v>
      </c>
      <c r="AE16" s="10">
        <v>268.39999999999998</v>
      </c>
      <c r="AF16" s="90">
        <v>292.8</v>
      </c>
    </row>
    <row r="17" spans="1:32" ht="15.75" thickBot="1" x14ac:dyDescent="0.3">
      <c r="A17" s="10"/>
      <c r="B17" s="65"/>
      <c r="C17" s="65"/>
      <c r="D17" s="65"/>
      <c r="E17" s="10" t="s">
        <v>111</v>
      </c>
      <c r="F17" s="13">
        <v>124.44</v>
      </c>
      <c r="G17" s="70"/>
      <c r="H17" s="46"/>
      <c r="I17" s="37"/>
      <c r="J17" s="10"/>
      <c r="K17" s="10" t="s">
        <v>106</v>
      </c>
      <c r="L17" s="22">
        <v>1122.4000000000001</v>
      </c>
      <c r="M17" s="10"/>
      <c r="N17" s="10"/>
      <c r="O17" s="10"/>
      <c r="P17" s="10"/>
      <c r="Q17" s="10" t="s">
        <v>113</v>
      </c>
      <c r="R17" s="11">
        <v>212.28</v>
      </c>
      <c r="S17" s="11">
        <v>233.5</v>
      </c>
      <c r="T17" s="10" t="s">
        <v>114</v>
      </c>
      <c r="U17" s="11">
        <v>212.28</v>
      </c>
      <c r="V17" s="10" t="s">
        <v>115</v>
      </c>
      <c r="W17" s="11">
        <v>100</v>
      </c>
      <c r="X17" s="10" t="s">
        <v>104</v>
      </c>
      <c r="Y17" s="11">
        <v>105</v>
      </c>
      <c r="Z17" s="10" t="s">
        <v>114</v>
      </c>
      <c r="AA17" s="11">
        <v>212.28</v>
      </c>
      <c r="AB17" s="10" t="s">
        <v>104</v>
      </c>
      <c r="AC17" s="10">
        <v>152.5</v>
      </c>
      <c r="AD17" s="10" t="s">
        <v>116</v>
      </c>
      <c r="AE17" s="10">
        <v>183</v>
      </c>
      <c r="AF17" s="22">
        <v>183</v>
      </c>
    </row>
    <row r="18" spans="1:32" x14ac:dyDescent="0.25">
      <c r="A18" s="10"/>
      <c r="B18" s="10"/>
      <c r="C18" s="10"/>
      <c r="D18" s="10"/>
      <c r="E18" s="10" t="s">
        <v>70</v>
      </c>
      <c r="F18" s="13">
        <v>1356.64</v>
      </c>
      <c r="I18" s="10"/>
      <c r="J18" s="10"/>
      <c r="K18" s="10" t="s">
        <v>112</v>
      </c>
      <c r="L18" s="22">
        <v>1329.8</v>
      </c>
      <c r="M18" s="73"/>
      <c r="N18" s="10"/>
      <c r="O18" s="10"/>
      <c r="P18" s="37"/>
      <c r="Q18" s="10" t="s">
        <v>118</v>
      </c>
      <c r="R18" s="11">
        <v>668.56</v>
      </c>
      <c r="S18" s="11">
        <v>1098</v>
      </c>
      <c r="T18" s="10" t="s">
        <v>119</v>
      </c>
      <c r="U18" s="11">
        <v>668.56</v>
      </c>
      <c r="V18" s="10" t="s">
        <v>70</v>
      </c>
      <c r="W18" s="11">
        <v>600</v>
      </c>
      <c r="X18" s="10" t="s">
        <v>43</v>
      </c>
      <c r="Y18" s="11">
        <v>105</v>
      </c>
      <c r="Z18" s="10" t="s">
        <v>119</v>
      </c>
      <c r="AA18" s="11">
        <v>668.56</v>
      </c>
      <c r="AB18" s="10" t="s">
        <v>120</v>
      </c>
      <c r="AC18" s="10">
        <v>152.5</v>
      </c>
      <c r="AD18" s="10" t="s">
        <v>121</v>
      </c>
      <c r="AE18" s="10">
        <v>244</v>
      </c>
      <c r="AF18" s="22">
        <v>244</v>
      </c>
    </row>
    <row r="19" spans="1:32" x14ac:dyDescent="0.25">
      <c r="A19" s="10" t="s">
        <v>122</v>
      </c>
      <c r="B19" s="10"/>
      <c r="C19" s="10"/>
      <c r="D19" s="10"/>
      <c r="E19" s="10" t="s">
        <v>43</v>
      </c>
      <c r="F19" s="13">
        <v>180.56</v>
      </c>
      <c r="I19" s="10"/>
      <c r="J19" s="9"/>
      <c r="K19" s="10" t="s">
        <v>117</v>
      </c>
      <c r="L19" s="22">
        <v>3757.6</v>
      </c>
      <c r="M19" s="10"/>
      <c r="N19" s="10"/>
      <c r="O19" s="10"/>
      <c r="P19" s="10"/>
      <c r="Q19" s="10" t="s">
        <v>123</v>
      </c>
      <c r="R19" s="11">
        <v>334.28</v>
      </c>
      <c r="S19" s="11">
        <v>549</v>
      </c>
      <c r="T19" s="10" t="s">
        <v>124</v>
      </c>
      <c r="U19" s="11">
        <v>334.28</v>
      </c>
      <c r="V19" s="10"/>
      <c r="W19" s="10"/>
      <c r="X19" s="10" t="s">
        <v>70</v>
      </c>
      <c r="Y19" s="11">
        <v>1100</v>
      </c>
      <c r="Z19" s="10" t="s">
        <v>124</v>
      </c>
      <c r="AA19" s="11">
        <v>334.28</v>
      </c>
      <c r="AD19" s="10" t="s">
        <v>125</v>
      </c>
      <c r="AE19" s="10">
        <v>976</v>
      </c>
      <c r="AF19" s="22">
        <v>976</v>
      </c>
    </row>
    <row r="20" spans="1:32" x14ac:dyDescent="0.25">
      <c r="A20" s="10"/>
      <c r="B20" s="10"/>
      <c r="C20" s="10"/>
      <c r="D20" s="10"/>
      <c r="E20" s="22" t="s">
        <v>126</v>
      </c>
      <c r="F20" s="13">
        <v>2341.1799999999998</v>
      </c>
      <c r="I20" s="10"/>
      <c r="J20" s="10"/>
      <c r="K20" s="10"/>
      <c r="L20" s="10"/>
      <c r="M20" s="10"/>
      <c r="N20" s="10"/>
      <c r="O20" s="10"/>
      <c r="P20" s="10"/>
      <c r="Q20" s="10" t="s">
        <v>127</v>
      </c>
      <c r="R20" s="11">
        <v>217.16</v>
      </c>
      <c r="S20" s="11">
        <v>244</v>
      </c>
      <c r="T20" s="10" t="s">
        <v>127</v>
      </c>
      <c r="U20" s="11">
        <v>217.16</v>
      </c>
      <c r="V20" s="10"/>
      <c r="W20" s="10"/>
      <c r="X20" s="10"/>
      <c r="Y20" s="10"/>
      <c r="Z20" s="10" t="s">
        <v>127</v>
      </c>
      <c r="AA20" s="11">
        <v>217.16</v>
      </c>
      <c r="AD20" s="10" t="s">
        <v>128</v>
      </c>
      <c r="AE20" s="10">
        <v>183</v>
      </c>
      <c r="AF20" s="10">
        <v>183</v>
      </c>
    </row>
    <row r="21" spans="1:32" x14ac:dyDescent="0.25">
      <c r="B21" s="10"/>
      <c r="C21" s="10"/>
      <c r="D21" s="10"/>
      <c r="E21" s="10" t="s">
        <v>178</v>
      </c>
      <c r="F21" s="13">
        <v>2393.64</v>
      </c>
      <c r="I21" s="10"/>
      <c r="J21" s="10"/>
      <c r="K21" s="10"/>
      <c r="L21" s="10"/>
      <c r="M21" s="10"/>
      <c r="N21" s="10"/>
      <c r="O21" s="10"/>
      <c r="P21" s="10"/>
      <c r="Q21" s="10" t="s">
        <v>130</v>
      </c>
      <c r="R21" s="11">
        <v>1050.42</v>
      </c>
      <c r="S21" s="11">
        <v>1050.42</v>
      </c>
      <c r="T21" s="10" t="s">
        <v>130</v>
      </c>
      <c r="U21" s="11">
        <v>1050.42</v>
      </c>
      <c r="V21" s="10"/>
      <c r="W21" s="10"/>
      <c r="X21" s="10"/>
      <c r="Y21" s="10"/>
      <c r="Z21" s="10" t="s">
        <v>130</v>
      </c>
      <c r="AA21" s="11">
        <v>1050.42</v>
      </c>
      <c r="AB21" s="96"/>
      <c r="AC21" s="96"/>
      <c r="AD21" s="96"/>
      <c r="AE21" s="96"/>
      <c r="AF21" s="85"/>
    </row>
    <row r="22" spans="1:32" ht="18" x14ac:dyDescent="0.35">
      <c r="A22" s="10"/>
      <c r="B22" s="10"/>
      <c r="C22" s="10"/>
      <c r="D22" s="10"/>
      <c r="E22" s="10" t="s">
        <v>131</v>
      </c>
      <c r="F22" s="13">
        <v>64.66</v>
      </c>
      <c r="I22" s="10"/>
      <c r="J22" s="10"/>
      <c r="K22" s="10"/>
      <c r="L22" s="10"/>
      <c r="M22" s="10"/>
      <c r="N22" s="10"/>
      <c r="O22" s="10"/>
      <c r="P22" s="10"/>
      <c r="Q22" s="10" t="s">
        <v>132</v>
      </c>
      <c r="R22" s="11">
        <v>485.56</v>
      </c>
      <c r="S22" s="11">
        <v>485.56</v>
      </c>
      <c r="T22" s="10" t="s">
        <v>132</v>
      </c>
      <c r="U22" s="11">
        <v>485.56</v>
      </c>
      <c r="V22" s="10"/>
      <c r="W22" s="10"/>
      <c r="X22" s="10"/>
      <c r="Y22" s="10"/>
      <c r="Z22" s="10" t="s">
        <v>132</v>
      </c>
      <c r="AA22" s="11">
        <v>485.56</v>
      </c>
      <c r="AD22" s="25"/>
    </row>
    <row r="23" spans="1:32" ht="15.75" x14ac:dyDescent="0.3">
      <c r="A23" s="10"/>
      <c r="B23" s="10"/>
      <c r="C23" s="10"/>
      <c r="D23" s="10"/>
      <c r="E23" s="10" t="s">
        <v>133</v>
      </c>
      <c r="F23" s="13">
        <v>124.44</v>
      </c>
      <c r="I23" s="10"/>
      <c r="J23" s="10"/>
      <c r="K23" s="10"/>
      <c r="L23" s="10"/>
      <c r="M23" s="10"/>
      <c r="N23" s="10"/>
      <c r="O23" s="10"/>
      <c r="P23" s="10"/>
      <c r="Q23" s="10" t="s">
        <v>134</v>
      </c>
      <c r="R23" s="11">
        <v>114.68</v>
      </c>
      <c r="S23" s="11">
        <v>152.5</v>
      </c>
      <c r="T23" s="10" t="s">
        <v>134</v>
      </c>
      <c r="U23" s="11">
        <v>114.68</v>
      </c>
      <c r="V23" s="10"/>
      <c r="W23" s="10"/>
      <c r="X23" s="10"/>
      <c r="Y23" s="10"/>
      <c r="Z23" s="10" t="s">
        <v>134</v>
      </c>
      <c r="AA23" s="11">
        <v>114.68</v>
      </c>
      <c r="AD23" s="26"/>
    </row>
    <row r="24" spans="1:32" ht="15.75" x14ac:dyDescent="0.3">
      <c r="A24" s="10"/>
      <c r="B24" s="10"/>
      <c r="C24" s="10"/>
      <c r="D24" s="10"/>
      <c r="E24" s="10" t="s">
        <v>135</v>
      </c>
      <c r="F24" s="13">
        <v>64.66</v>
      </c>
      <c r="I24" s="10"/>
      <c r="J24" s="10"/>
      <c r="K24" s="10"/>
      <c r="L24" s="10"/>
      <c r="M24" s="10"/>
      <c r="N24" s="10"/>
      <c r="O24" s="10"/>
      <c r="P24" s="10"/>
      <c r="Q24" s="10" t="s">
        <v>111</v>
      </c>
      <c r="R24" s="11">
        <v>76.86</v>
      </c>
      <c r="S24" s="11">
        <v>76.86</v>
      </c>
      <c r="T24" s="10" t="s">
        <v>111</v>
      </c>
      <c r="U24" s="11">
        <v>76.86</v>
      </c>
      <c r="V24" s="10"/>
      <c r="W24" s="10"/>
      <c r="X24" s="10"/>
      <c r="Y24" s="10"/>
      <c r="Z24" s="10" t="s">
        <v>111</v>
      </c>
      <c r="AA24" s="11">
        <v>76.86</v>
      </c>
      <c r="AD24" s="27"/>
    </row>
    <row r="25" spans="1:32" x14ac:dyDescent="0.25">
      <c r="A25" s="9"/>
      <c r="B25" s="9"/>
      <c r="C25" s="9"/>
      <c r="D25" s="9"/>
      <c r="E25" s="10" t="s">
        <v>136</v>
      </c>
      <c r="F25" s="13">
        <v>92.72</v>
      </c>
      <c r="I25" s="10"/>
      <c r="J25" s="10"/>
      <c r="K25" s="10"/>
      <c r="L25" s="10"/>
      <c r="M25" s="10"/>
      <c r="N25" s="10"/>
      <c r="O25" s="10"/>
      <c r="P25" s="10"/>
      <c r="Q25" s="10" t="s">
        <v>70</v>
      </c>
      <c r="R25" s="11">
        <v>829.6</v>
      </c>
      <c r="S25" s="11">
        <v>915</v>
      </c>
      <c r="T25" s="10" t="s">
        <v>70</v>
      </c>
      <c r="U25" s="11">
        <v>829.6</v>
      </c>
      <c r="V25" s="10"/>
      <c r="W25" s="10"/>
      <c r="X25" s="10"/>
      <c r="Y25" s="10"/>
      <c r="Z25" s="10" t="s">
        <v>70</v>
      </c>
      <c r="AA25" s="11">
        <v>829.6</v>
      </c>
    </row>
    <row r="26" spans="1:32" x14ac:dyDescent="0.25">
      <c r="E26" s="10" t="s">
        <v>137</v>
      </c>
      <c r="F26" s="13">
        <v>240.34</v>
      </c>
      <c r="Q26" s="10" t="s">
        <v>138</v>
      </c>
      <c r="R26" s="11">
        <v>37</v>
      </c>
      <c r="S26" s="11">
        <v>36.6</v>
      </c>
    </row>
    <row r="27" spans="1:32" x14ac:dyDescent="0.25">
      <c r="E27" s="10" t="s">
        <v>177</v>
      </c>
      <c r="F27" s="13">
        <v>3989.4</v>
      </c>
      <c r="Q27" s="10" t="s">
        <v>139</v>
      </c>
      <c r="R27" s="11">
        <v>39</v>
      </c>
      <c r="S27" s="11">
        <v>56.12</v>
      </c>
    </row>
    <row r="28" spans="1:32" ht="15.75" thickBot="1" x14ac:dyDescent="0.3">
      <c r="Q28" s="10" t="s">
        <v>140</v>
      </c>
      <c r="R28" s="11">
        <v>28</v>
      </c>
      <c r="S28" s="11">
        <v>36.6</v>
      </c>
    </row>
    <row r="29" spans="1:32" ht="15.75" thickBot="1" x14ac:dyDescent="0.3">
      <c r="B29" s="92" t="s">
        <v>209</v>
      </c>
      <c r="C29" s="93">
        <v>2.2400000000000002</v>
      </c>
      <c r="Q29" s="10" t="s">
        <v>141</v>
      </c>
      <c r="R29" s="11">
        <v>37</v>
      </c>
      <c r="S29" s="11">
        <v>36.6</v>
      </c>
    </row>
    <row r="30" spans="1:32" x14ac:dyDescent="0.25">
      <c r="B30" s="64"/>
      <c r="C30" s="64"/>
      <c r="D30" s="64"/>
      <c r="Q30" s="10" t="s">
        <v>142</v>
      </c>
      <c r="R30" s="11">
        <v>31</v>
      </c>
      <c r="S30" s="11"/>
    </row>
    <row r="32" spans="1:32" x14ac:dyDescent="0.25">
      <c r="H32" s="49"/>
    </row>
  </sheetData>
  <mergeCells count="16">
    <mergeCell ref="AG5:AH5"/>
    <mergeCell ref="E6:F6"/>
    <mergeCell ref="G6:H6"/>
    <mergeCell ref="I6:J6"/>
    <mergeCell ref="K6:L6"/>
    <mergeCell ref="Q6:R6"/>
    <mergeCell ref="A6:D6"/>
    <mergeCell ref="N3:P3"/>
    <mergeCell ref="AE3:AF3"/>
    <mergeCell ref="AB5:AC5"/>
    <mergeCell ref="AD5:AF5"/>
    <mergeCell ref="Z6:AA6"/>
    <mergeCell ref="AB6:AC6"/>
    <mergeCell ref="AD6:AF6"/>
    <mergeCell ref="AG6:AH6"/>
    <mergeCell ref="AB21:A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9BB8-C49F-4BDA-992D-663C24E9188C}">
  <dimension ref="A1:AF32"/>
  <sheetViews>
    <sheetView topLeftCell="W1" workbookViewId="0">
      <selection activeCell="W1" sqref="A1:XFD1048576"/>
    </sheetView>
  </sheetViews>
  <sheetFormatPr baseColWidth="10" defaultColWidth="9.140625" defaultRowHeight="15" x14ac:dyDescent="0.25"/>
  <cols>
    <col min="1" max="1" width="37.42578125" customWidth="1"/>
    <col min="2" max="4" width="34.5703125" customWidth="1"/>
    <col min="5" max="5" width="22.7109375" customWidth="1"/>
    <col min="6" max="6" width="18.85546875" customWidth="1"/>
    <col min="7" max="7" width="20.7109375" customWidth="1"/>
    <col min="8" max="8" width="21.28515625" customWidth="1"/>
    <col min="9" max="9" width="25.85546875" customWidth="1"/>
    <col min="10" max="10" width="29.5703125" customWidth="1"/>
    <col min="11" max="11" width="43.85546875" customWidth="1"/>
    <col min="12" max="12" width="27" customWidth="1"/>
    <col min="13" max="13" width="1.5703125" customWidth="1"/>
    <col min="14" max="14" width="26.7109375" customWidth="1"/>
    <col min="15" max="15" width="33" customWidth="1"/>
    <col min="16" max="16" width="13.28515625" customWidth="1"/>
    <col min="17" max="17" width="12.5703125" customWidth="1"/>
    <col min="18" max="18" width="24.140625" customWidth="1"/>
    <col min="19" max="19" width="15.85546875" customWidth="1"/>
    <col min="20" max="20" width="24.140625" customWidth="1"/>
    <col min="21" max="21" width="11.140625" customWidth="1"/>
    <col min="22" max="22" width="27" customWidth="1"/>
    <col min="23" max="23" width="39.5703125" customWidth="1"/>
    <col min="24" max="24" width="23.28515625" customWidth="1"/>
    <col min="25" max="25" width="19.140625" customWidth="1"/>
    <col min="26" max="26" width="19.28515625" customWidth="1"/>
    <col min="27" max="27" width="14.85546875" customWidth="1"/>
    <col min="28" max="28" width="25.7109375" customWidth="1"/>
    <col min="29" max="29" width="21.85546875" customWidth="1"/>
    <col min="30" max="30" width="27.85546875" customWidth="1"/>
    <col min="31" max="31" width="23.7109375" customWidth="1"/>
    <col min="32" max="32" width="19.28515625" customWidth="1"/>
  </cols>
  <sheetData>
    <row r="1" spans="1:32" x14ac:dyDescent="0.25">
      <c r="A1" s="3" t="s">
        <v>0</v>
      </c>
      <c r="B1" s="3"/>
    </row>
    <row r="2" spans="1:32" ht="15.75" thickBot="1" x14ac:dyDescent="0.3"/>
    <row r="3" spans="1:32" ht="15.75" thickBot="1" x14ac:dyDescent="0.3">
      <c r="A3" s="2" t="s">
        <v>1</v>
      </c>
      <c r="B3" s="29"/>
      <c r="C3" s="2" t="s">
        <v>1</v>
      </c>
      <c r="D3" s="32">
        <v>0.4</v>
      </c>
      <c r="E3" s="2" t="s">
        <v>1</v>
      </c>
      <c r="F3" s="51">
        <v>0.25</v>
      </c>
      <c r="G3" s="29" t="s">
        <v>1</v>
      </c>
      <c r="H3" s="4" t="s">
        <v>2</v>
      </c>
      <c r="I3" s="2" t="s">
        <v>1</v>
      </c>
      <c r="J3" s="4">
        <v>1</v>
      </c>
      <c r="K3" s="2" t="s">
        <v>1</v>
      </c>
      <c r="L3" s="97" t="s">
        <v>2</v>
      </c>
      <c r="M3" s="97"/>
      <c r="N3" s="98"/>
      <c r="O3" s="2" t="s">
        <v>1</v>
      </c>
      <c r="P3" s="29"/>
      <c r="Q3" s="4">
        <v>0.25</v>
      </c>
      <c r="R3" s="2" t="s">
        <v>1</v>
      </c>
      <c r="S3" s="8" t="s">
        <v>2</v>
      </c>
      <c r="T3" s="2" t="s">
        <v>1</v>
      </c>
      <c r="U3" s="4">
        <v>1</v>
      </c>
      <c r="V3" s="2" t="s">
        <v>1</v>
      </c>
      <c r="W3" s="8">
        <v>0.15</v>
      </c>
      <c r="X3" s="2" t="s">
        <v>1</v>
      </c>
      <c r="Y3" s="8" t="s">
        <v>2</v>
      </c>
      <c r="Z3" s="2" t="s">
        <v>1</v>
      </c>
      <c r="AA3" s="8" t="s">
        <v>2</v>
      </c>
      <c r="AB3" s="2" t="s">
        <v>1</v>
      </c>
      <c r="AC3" s="99" t="s">
        <v>2</v>
      </c>
      <c r="AD3" s="100"/>
      <c r="AE3" s="2" t="s">
        <v>1</v>
      </c>
      <c r="AF3" s="81">
        <v>1</v>
      </c>
    </row>
    <row r="4" spans="1:32" ht="15.75" thickBot="1" x14ac:dyDescent="0.3">
      <c r="A4" s="1" t="s">
        <v>3</v>
      </c>
      <c r="E4" s="38"/>
    </row>
    <row r="5" spans="1:32" ht="15.75" thickBot="1" x14ac:dyDescent="0.3">
      <c r="A5" s="2" t="s">
        <v>4</v>
      </c>
      <c r="B5" s="29" t="s">
        <v>184</v>
      </c>
      <c r="C5" s="2" t="s">
        <v>4</v>
      </c>
      <c r="D5" s="29" t="s">
        <v>6</v>
      </c>
      <c r="E5" s="2" t="s">
        <v>4</v>
      </c>
      <c r="F5" s="7" t="s">
        <v>7</v>
      </c>
      <c r="G5" s="29" t="s">
        <v>4</v>
      </c>
      <c r="H5" s="7" t="s">
        <v>194</v>
      </c>
      <c r="I5" s="2" t="s">
        <v>4</v>
      </c>
      <c r="J5" s="7" t="s">
        <v>8</v>
      </c>
      <c r="K5" s="2" t="s">
        <v>9</v>
      </c>
      <c r="L5" s="7" t="s">
        <v>8</v>
      </c>
      <c r="M5" s="7"/>
      <c r="N5" s="72" t="s">
        <v>179</v>
      </c>
      <c r="O5" s="2" t="s">
        <v>4</v>
      </c>
      <c r="P5" s="29"/>
      <c r="Q5" s="7" t="s">
        <v>10</v>
      </c>
      <c r="R5" s="2" t="s">
        <v>11</v>
      </c>
      <c r="S5" s="7" t="s">
        <v>8</v>
      </c>
      <c r="T5" s="2" t="s">
        <v>4</v>
      </c>
      <c r="U5" s="7" t="s">
        <v>8</v>
      </c>
      <c r="V5" s="2" t="s">
        <v>4</v>
      </c>
      <c r="W5" s="7" t="s">
        <v>193</v>
      </c>
      <c r="X5" s="2" t="s">
        <v>13</v>
      </c>
      <c r="Y5" s="7" t="s">
        <v>8</v>
      </c>
      <c r="Z5" s="101" t="s">
        <v>14</v>
      </c>
      <c r="AA5" s="102"/>
      <c r="AB5" s="101" t="s">
        <v>4</v>
      </c>
      <c r="AC5" s="103"/>
      <c r="AD5" s="103"/>
      <c r="AE5" s="99" t="s">
        <v>4</v>
      </c>
      <c r="AF5" s="104"/>
    </row>
    <row r="6" spans="1:32" x14ac:dyDescent="0.25">
      <c r="A6" s="77" t="s">
        <v>15</v>
      </c>
      <c r="B6" s="75"/>
      <c r="C6" s="105" t="s">
        <v>16</v>
      </c>
      <c r="D6" s="105"/>
      <c r="E6" s="106" t="s">
        <v>17</v>
      </c>
      <c r="F6" s="105"/>
      <c r="G6" s="95" t="s">
        <v>18</v>
      </c>
      <c r="H6" s="95"/>
      <c r="I6" s="105" t="s">
        <v>19</v>
      </c>
      <c r="J6" s="105"/>
      <c r="K6" s="17" t="s">
        <v>20</v>
      </c>
      <c r="L6" s="17"/>
      <c r="M6" s="17"/>
      <c r="N6" s="17"/>
      <c r="O6" s="95" t="s">
        <v>21</v>
      </c>
      <c r="P6" s="95"/>
      <c r="Q6" s="17"/>
      <c r="R6" s="17" t="s">
        <v>22</v>
      </c>
      <c r="S6" s="17"/>
      <c r="T6" s="17" t="s">
        <v>23</v>
      </c>
      <c r="U6" s="17"/>
      <c r="V6" s="17" t="s">
        <v>185</v>
      </c>
      <c r="W6" s="17"/>
      <c r="X6" s="95" t="s">
        <v>25</v>
      </c>
      <c r="Y6" s="95"/>
      <c r="Z6" s="95" t="s">
        <v>26</v>
      </c>
      <c r="AA6" s="95"/>
      <c r="AB6" s="95" t="s">
        <v>27</v>
      </c>
      <c r="AC6" s="95"/>
      <c r="AD6" s="95"/>
      <c r="AE6" s="95" t="s">
        <v>201</v>
      </c>
      <c r="AF6" s="95"/>
    </row>
    <row r="7" spans="1:32" x14ac:dyDescent="0.25">
      <c r="A7" s="9" t="s">
        <v>28</v>
      </c>
      <c r="B7" s="9" t="s">
        <v>180</v>
      </c>
      <c r="C7" s="9" t="s">
        <v>28</v>
      </c>
      <c r="D7" s="33" t="s">
        <v>30</v>
      </c>
      <c r="E7" s="40" t="s">
        <v>28</v>
      </c>
      <c r="F7" s="53" t="s">
        <v>30</v>
      </c>
      <c r="G7" s="36" t="s">
        <v>28</v>
      </c>
      <c r="H7" s="9" t="s">
        <v>195</v>
      </c>
      <c r="I7" s="9" t="s">
        <v>28</v>
      </c>
      <c r="J7" s="9" t="s">
        <v>197</v>
      </c>
      <c r="K7" s="9" t="s">
        <v>28</v>
      </c>
      <c r="L7" s="9" t="s">
        <v>31</v>
      </c>
      <c r="M7" s="30" t="s">
        <v>181</v>
      </c>
      <c r="N7" s="9" t="s">
        <v>180</v>
      </c>
      <c r="O7" s="9" t="s">
        <v>28</v>
      </c>
      <c r="P7" s="9" t="s">
        <v>31</v>
      </c>
      <c r="Q7" s="63" t="s">
        <v>29</v>
      </c>
      <c r="R7" s="9" t="s">
        <v>28</v>
      </c>
      <c r="S7" s="9" t="s">
        <v>31</v>
      </c>
      <c r="T7" s="9" t="s">
        <v>28</v>
      </c>
      <c r="U7" s="9" t="s">
        <v>31</v>
      </c>
      <c r="V7" s="9" t="s">
        <v>28</v>
      </c>
      <c r="W7" s="9" t="s">
        <v>186</v>
      </c>
      <c r="X7" s="9" t="s">
        <v>28</v>
      </c>
      <c r="Y7" s="9" t="s">
        <v>31</v>
      </c>
      <c r="Z7" s="9" t="s">
        <v>32</v>
      </c>
      <c r="AA7" s="9" t="s">
        <v>33</v>
      </c>
      <c r="AB7" s="9" t="s">
        <v>32</v>
      </c>
      <c r="AC7" s="9" t="s">
        <v>207</v>
      </c>
      <c r="AD7" s="9" t="s">
        <v>208</v>
      </c>
      <c r="AE7" s="9" t="s">
        <v>32</v>
      </c>
      <c r="AF7" s="9" t="s">
        <v>33</v>
      </c>
    </row>
    <row r="8" spans="1:32" x14ac:dyDescent="0.25">
      <c r="A8" s="10" t="s">
        <v>36</v>
      </c>
      <c r="B8" s="13">
        <v>290.27</v>
      </c>
      <c r="C8" s="10" t="s">
        <v>37</v>
      </c>
      <c r="D8" s="65">
        <v>145.18</v>
      </c>
      <c r="E8" s="41" t="s">
        <v>38</v>
      </c>
      <c r="F8" s="52">
        <v>100</v>
      </c>
      <c r="G8" s="37" t="s">
        <v>39</v>
      </c>
      <c r="H8" s="22">
        <v>108.89</v>
      </c>
      <c r="I8" s="10" t="s">
        <v>198</v>
      </c>
      <c r="J8" s="22">
        <v>140.30000000000001</v>
      </c>
      <c r="K8" s="10" t="s">
        <v>41</v>
      </c>
      <c r="L8" s="11">
        <v>103.7</v>
      </c>
      <c r="M8" s="57">
        <f t="shared" ref="M8:M15" si="0">N8*100/L8-100</f>
        <v>17.647058823529406</v>
      </c>
      <c r="N8" s="65">
        <v>122</v>
      </c>
      <c r="O8" s="10" t="s">
        <v>42</v>
      </c>
      <c r="P8" s="11">
        <v>86.62</v>
      </c>
      <c r="Q8" s="11">
        <v>97.6</v>
      </c>
      <c r="R8" s="10" t="s">
        <v>42</v>
      </c>
      <c r="S8" s="11">
        <v>86.62</v>
      </c>
      <c r="T8" s="10" t="s">
        <v>43</v>
      </c>
      <c r="U8" s="11">
        <v>90</v>
      </c>
      <c r="V8" s="10" t="s">
        <v>187</v>
      </c>
      <c r="W8" s="11">
        <v>105</v>
      </c>
      <c r="X8" s="10" t="s">
        <v>42</v>
      </c>
      <c r="Y8" s="11">
        <v>86.62</v>
      </c>
      <c r="Z8" s="10" t="s">
        <v>39</v>
      </c>
      <c r="AA8" s="10">
        <v>122</v>
      </c>
      <c r="AB8" s="10" t="s">
        <v>44</v>
      </c>
      <c r="AC8" s="10">
        <v>87.84</v>
      </c>
      <c r="AD8" s="88">
        <v>91.5</v>
      </c>
      <c r="AE8" s="18" t="s">
        <v>43</v>
      </c>
      <c r="AF8" s="86">
        <v>100</v>
      </c>
    </row>
    <row r="9" spans="1:32" x14ac:dyDescent="0.25">
      <c r="A9" s="10" t="s">
        <v>45</v>
      </c>
      <c r="B9" s="13">
        <v>405.83</v>
      </c>
      <c r="C9" s="10" t="s">
        <v>46</v>
      </c>
      <c r="D9" s="65">
        <v>196.42</v>
      </c>
      <c r="E9" s="41" t="s">
        <v>47</v>
      </c>
      <c r="F9" s="52">
        <v>60</v>
      </c>
      <c r="G9" s="37" t="s">
        <v>48</v>
      </c>
      <c r="H9" s="22">
        <v>147.32</v>
      </c>
      <c r="I9" t="s">
        <v>199</v>
      </c>
      <c r="J9" s="22">
        <v>219.6</v>
      </c>
      <c r="K9" s="10" t="s">
        <v>50</v>
      </c>
      <c r="L9" s="11">
        <v>146.4</v>
      </c>
      <c r="M9" s="57">
        <f t="shared" si="0"/>
        <v>16.666666666666657</v>
      </c>
      <c r="N9" s="65">
        <v>170.8</v>
      </c>
      <c r="O9" s="10" t="s">
        <v>51</v>
      </c>
      <c r="P9" s="11">
        <v>129.32</v>
      </c>
      <c r="Q9" s="11">
        <v>146.4</v>
      </c>
      <c r="R9" s="10" t="s">
        <v>51</v>
      </c>
      <c r="S9" s="11">
        <v>129.32</v>
      </c>
      <c r="T9" s="10" t="s">
        <v>52</v>
      </c>
      <c r="U9" s="11">
        <v>90</v>
      </c>
      <c r="V9" s="10" t="s">
        <v>188</v>
      </c>
      <c r="W9" s="11">
        <v>160</v>
      </c>
      <c r="X9" s="10" t="s">
        <v>51</v>
      </c>
      <c r="Y9" s="11">
        <v>129.32</v>
      </c>
      <c r="Z9" s="10" t="s">
        <v>48</v>
      </c>
      <c r="AA9" s="10">
        <v>146.4</v>
      </c>
      <c r="AB9" s="10" t="s">
        <v>53</v>
      </c>
      <c r="AC9" s="10">
        <v>106.14</v>
      </c>
      <c r="AD9" s="88">
        <v>113.46</v>
      </c>
      <c r="AE9" s="18" t="s">
        <v>202</v>
      </c>
      <c r="AF9" s="86">
        <v>120</v>
      </c>
    </row>
    <row r="10" spans="1:32" x14ac:dyDescent="0.25">
      <c r="A10" s="10" t="s">
        <v>54</v>
      </c>
      <c r="B10" s="13">
        <v>435.42</v>
      </c>
      <c r="C10" s="10" t="s">
        <v>54</v>
      </c>
      <c r="D10" s="65">
        <v>506.3</v>
      </c>
      <c r="E10" s="41" t="s">
        <v>55</v>
      </c>
      <c r="F10" s="52">
        <v>90</v>
      </c>
      <c r="G10" s="37" t="s">
        <v>56</v>
      </c>
      <c r="H10" s="22">
        <v>294.63</v>
      </c>
      <c r="I10" s="10" t="s">
        <v>49</v>
      </c>
      <c r="J10" s="22">
        <v>114.68</v>
      </c>
      <c r="K10" s="10" t="s">
        <v>58</v>
      </c>
      <c r="L10" s="11">
        <v>305</v>
      </c>
      <c r="M10" s="34">
        <f t="shared" si="0"/>
        <v>16</v>
      </c>
      <c r="N10" s="65">
        <v>353.8</v>
      </c>
      <c r="O10" s="10" t="s">
        <v>59</v>
      </c>
      <c r="P10" s="11">
        <v>167.14</v>
      </c>
      <c r="Q10" s="11">
        <v>219.6</v>
      </c>
      <c r="R10" s="10" t="s">
        <v>59</v>
      </c>
      <c r="S10" s="11">
        <v>167.14</v>
      </c>
      <c r="T10" s="10" t="s">
        <v>60</v>
      </c>
      <c r="U10" s="11">
        <v>100</v>
      </c>
      <c r="V10" s="10" t="s">
        <v>189</v>
      </c>
      <c r="W10" s="11">
        <v>195</v>
      </c>
      <c r="X10" s="10" t="s">
        <v>59</v>
      </c>
      <c r="Y10" s="11">
        <v>167.14</v>
      </c>
      <c r="Z10" s="10" t="s">
        <v>56</v>
      </c>
      <c r="AA10" s="10">
        <v>427</v>
      </c>
      <c r="AB10" s="10" t="s">
        <v>61</v>
      </c>
      <c r="AC10" s="10">
        <v>231.79999999999998</v>
      </c>
      <c r="AD10" s="88">
        <v>244</v>
      </c>
      <c r="AE10" s="18" t="s">
        <v>203</v>
      </c>
      <c r="AF10" s="86">
        <v>150</v>
      </c>
    </row>
    <row r="11" spans="1:32" x14ac:dyDescent="0.25">
      <c r="A11" s="10" t="s">
        <v>62</v>
      </c>
      <c r="B11" s="13">
        <v>1452.81</v>
      </c>
      <c r="C11" s="10" t="s">
        <v>63</v>
      </c>
      <c r="D11" s="65">
        <v>1111.42</v>
      </c>
      <c r="E11" s="41" t="s">
        <v>57</v>
      </c>
      <c r="F11" s="52">
        <v>120</v>
      </c>
      <c r="G11" s="37" t="s">
        <v>64</v>
      </c>
      <c r="H11" s="22">
        <v>236.99</v>
      </c>
      <c r="I11" s="10" t="s">
        <v>57</v>
      </c>
      <c r="J11" s="22">
        <v>114.68</v>
      </c>
      <c r="K11" s="10" t="s">
        <v>66</v>
      </c>
      <c r="L11" s="11">
        <v>829.6</v>
      </c>
      <c r="M11" s="57">
        <f t="shared" si="0"/>
        <v>15.441176470588232</v>
      </c>
      <c r="N11" s="65">
        <v>957.7</v>
      </c>
      <c r="O11" s="10" t="s">
        <v>67</v>
      </c>
      <c r="P11" s="11">
        <v>86.62</v>
      </c>
      <c r="Q11" s="11">
        <v>97.6</v>
      </c>
      <c r="R11" s="10" t="s">
        <v>67</v>
      </c>
      <c r="S11" s="11">
        <v>86.62</v>
      </c>
      <c r="T11" s="10" t="s">
        <v>56</v>
      </c>
      <c r="U11" s="11">
        <v>200</v>
      </c>
      <c r="V11" s="10" t="s">
        <v>190</v>
      </c>
      <c r="W11" s="11">
        <v>300</v>
      </c>
      <c r="X11" s="10" t="s">
        <v>67</v>
      </c>
      <c r="Y11" s="11">
        <v>86.62</v>
      </c>
      <c r="Z11" s="10" t="s">
        <v>68</v>
      </c>
      <c r="AA11" s="10">
        <v>488</v>
      </c>
      <c r="AB11" s="10" t="s">
        <v>69</v>
      </c>
      <c r="AC11" s="10">
        <v>463.59999999999997</v>
      </c>
      <c r="AD11" s="10">
        <v>463.6</v>
      </c>
      <c r="AE11" s="18" t="s">
        <v>204</v>
      </c>
      <c r="AF11" s="86">
        <v>300</v>
      </c>
    </row>
    <row r="12" spans="1:32" x14ac:dyDescent="0.25">
      <c r="A12" s="10" t="s">
        <v>70</v>
      </c>
      <c r="B12" s="13">
        <v>2071.42</v>
      </c>
      <c r="C12" s="10" t="s">
        <v>71</v>
      </c>
      <c r="D12" s="13">
        <v>1836.1</v>
      </c>
      <c r="E12" s="37" t="s">
        <v>72</v>
      </c>
      <c r="F12" s="52">
        <v>200</v>
      </c>
      <c r="G12" s="37" t="s">
        <v>73</v>
      </c>
      <c r="H12" s="22">
        <v>653.30999999999995</v>
      </c>
      <c r="I12" s="10" t="s">
        <v>65</v>
      </c>
      <c r="J12" s="22">
        <v>128.1</v>
      </c>
      <c r="K12" s="10" t="s">
        <v>74</v>
      </c>
      <c r="L12" s="11">
        <v>1018.7</v>
      </c>
      <c r="M12" s="57">
        <f t="shared" si="0"/>
        <v>14.970059880239518</v>
      </c>
      <c r="N12" s="65">
        <v>1171.2</v>
      </c>
      <c r="O12" s="10" t="s">
        <v>75</v>
      </c>
      <c r="P12" s="11">
        <v>114.68</v>
      </c>
      <c r="Q12" s="11">
        <v>152.5</v>
      </c>
      <c r="R12" s="10" t="s">
        <v>75</v>
      </c>
      <c r="S12" s="11">
        <v>114.68</v>
      </c>
      <c r="T12" s="10" t="s">
        <v>76</v>
      </c>
      <c r="U12" s="11">
        <v>180</v>
      </c>
      <c r="V12" s="10" t="s">
        <v>68</v>
      </c>
      <c r="W12" s="11">
        <v>180</v>
      </c>
      <c r="X12" s="10" t="s">
        <v>75</v>
      </c>
      <c r="Y12" s="11">
        <v>114.68</v>
      </c>
      <c r="Z12" s="10" t="s">
        <v>78</v>
      </c>
      <c r="AA12" s="10">
        <v>1098</v>
      </c>
      <c r="AB12" s="10" t="s">
        <v>79</v>
      </c>
      <c r="AC12" s="10">
        <v>829.6</v>
      </c>
      <c r="AD12" s="88">
        <v>878.4</v>
      </c>
      <c r="AE12" s="18" t="s">
        <v>205</v>
      </c>
      <c r="AF12" s="86">
        <v>700</v>
      </c>
    </row>
    <row r="13" spans="1:32" x14ac:dyDescent="0.25">
      <c r="A13" s="10" t="s">
        <v>80</v>
      </c>
      <c r="B13" s="13">
        <v>186.01</v>
      </c>
      <c r="C13" s="18" t="s">
        <v>81</v>
      </c>
      <c r="D13" s="13">
        <v>3989.4</v>
      </c>
      <c r="E13" s="37" t="s">
        <v>82</v>
      </c>
      <c r="F13" s="52">
        <v>200</v>
      </c>
      <c r="G13" s="37" t="s">
        <v>83</v>
      </c>
      <c r="H13" s="22">
        <v>1018.4</v>
      </c>
      <c r="I13" s="10" t="s">
        <v>58</v>
      </c>
      <c r="J13" s="22">
        <v>268.39999999999998</v>
      </c>
      <c r="K13" s="10" t="s">
        <v>40</v>
      </c>
      <c r="L13" s="11">
        <v>146.4</v>
      </c>
      <c r="M13" s="57">
        <f t="shared" si="0"/>
        <v>16.666666666666657</v>
      </c>
      <c r="N13" s="65">
        <v>170.8</v>
      </c>
      <c r="O13" s="10" t="s">
        <v>85</v>
      </c>
      <c r="P13" s="11">
        <v>86.62</v>
      </c>
      <c r="Q13" s="11">
        <v>97.6</v>
      </c>
      <c r="R13" s="10" t="s">
        <v>85</v>
      </c>
      <c r="S13" s="11">
        <v>86.62</v>
      </c>
      <c r="T13" s="10" t="s">
        <v>78</v>
      </c>
      <c r="U13" s="11">
        <v>445</v>
      </c>
      <c r="V13" s="10" t="s">
        <v>191</v>
      </c>
      <c r="W13" s="11">
        <v>596</v>
      </c>
      <c r="X13" s="10" t="s">
        <v>85</v>
      </c>
      <c r="Y13" s="11">
        <v>86.62</v>
      </c>
      <c r="Z13" s="10" t="s">
        <v>86</v>
      </c>
      <c r="AA13" s="10">
        <v>1586</v>
      </c>
      <c r="AB13" s="10" t="s">
        <v>87</v>
      </c>
      <c r="AC13" s="10">
        <v>1000.4</v>
      </c>
      <c r="AD13" s="88">
        <v>1024.8</v>
      </c>
      <c r="AE13" s="18" t="s">
        <v>206</v>
      </c>
      <c r="AF13" s="86">
        <v>1400</v>
      </c>
    </row>
    <row r="14" spans="1:32" x14ac:dyDescent="0.25">
      <c r="A14" s="10" t="s">
        <v>88</v>
      </c>
      <c r="B14" s="13">
        <v>372.02</v>
      </c>
      <c r="C14" s="10" t="s">
        <v>89</v>
      </c>
      <c r="D14" s="13">
        <v>253.76</v>
      </c>
      <c r="E14" s="37" t="s">
        <v>83</v>
      </c>
      <c r="F14" s="52">
        <v>650</v>
      </c>
      <c r="G14" s="37" t="s">
        <v>40</v>
      </c>
      <c r="H14" s="22">
        <v>185.75</v>
      </c>
      <c r="I14" s="10" t="s">
        <v>84</v>
      </c>
      <c r="J14" s="22">
        <v>146.4</v>
      </c>
      <c r="K14" s="10" t="s">
        <v>90</v>
      </c>
      <c r="L14" s="11">
        <v>134.19999999999999</v>
      </c>
      <c r="M14" s="57">
        <f t="shared" si="0"/>
        <v>13.63636363636364</v>
      </c>
      <c r="N14" s="65">
        <v>152.5</v>
      </c>
      <c r="O14" s="10" t="s">
        <v>91</v>
      </c>
      <c r="P14" s="11">
        <v>1493.28</v>
      </c>
      <c r="Q14" s="11">
        <v>1342</v>
      </c>
      <c r="R14" s="10" t="s">
        <v>91</v>
      </c>
      <c r="S14" s="11">
        <v>1493.28</v>
      </c>
      <c r="T14" s="10" t="s">
        <v>77</v>
      </c>
      <c r="U14" s="11">
        <v>665</v>
      </c>
      <c r="V14" s="10" t="s">
        <v>192</v>
      </c>
      <c r="W14" s="11">
        <v>1100</v>
      </c>
      <c r="X14" s="10" t="s">
        <v>91</v>
      </c>
      <c r="Y14" s="11">
        <v>1493.28</v>
      </c>
      <c r="Z14" s="10" t="s">
        <v>92</v>
      </c>
      <c r="AA14" s="10">
        <v>128.1</v>
      </c>
      <c r="AB14" s="10" t="s">
        <v>93</v>
      </c>
      <c r="AC14" s="10">
        <v>146.4</v>
      </c>
      <c r="AD14" s="88">
        <v>158.6</v>
      </c>
      <c r="AE14" s="18" t="s">
        <v>92</v>
      </c>
      <c r="AF14" s="86">
        <v>120</v>
      </c>
    </row>
    <row r="15" spans="1:32" x14ac:dyDescent="0.25">
      <c r="A15" s="10" t="s">
        <v>94</v>
      </c>
      <c r="B15" s="13">
        <v>271.95999999999998</v>
      </c>
      <c r="C15" s="10" t="s">
        <v>95</v>
      </c>
      <c r="D15" s="13">
        <v>336.72</v>
      </c>
      <c r="E15" s="37" t="s">
        <v>70</v>
      </c>
      <c r="F15" s="52">
        <v>550</v>
      </c>
      <c r="G15" s="37" t="s">
        <v>96</v>
      </c>
      <c r="H15" s="22">
        <v>717.36</v>
      </c>
      <c r="I15" s="10" t="s">
        <v>70</v>
      </c>
      <c r="J15" s="22">
        <v>1073.5999999999999</v>
      </c>
      <c r="K15" s="10" t="s">
        <v>98</v>
      </c>
      <c r="L15" s="11">
        <v>134.19999999999999</v>
      </c>
      <c r="M15" s="57">
        <f t="shared" si="0"/>
        <v>13.63636363636364</v>
      </c>
      <c r="N15" s="65">
        <v>152.5</v>
      </c>
      <c r="O15" s="10" t="s">
        <v>99</v>
      </c>
      <c r="P15" s="11">
        <v>101.26</v>
      </c>
      <c r="Q15" s="11">
        <v>122</v>
      </c>
      <c r="R15" s="10" t="s">
        <v>99</v>
      </c>
      <c r="S15" s="11">
        <v>101.26</v>
      </c>
      <c r="T15" s="10" t="s">
        <v>100</v>
      </c>
      <c r="U15" s="11">
        <v>85</v>
      </c>
      <c r="V15" s="10" t="s">
        <v>89</v>
      </c>
      <c r="W15" s="11">
        <v>140</v>
      </c>
      <c r="X15" s="10" t="s">
        <v>99</v>
      </c>
      <c r="Y15" s="11">
        <v>101.26</v>
      </c>
      <c r="Z15" s="10" t="s">
        <v>101</v>
      </c>
      <c r="AA15" s="10">
        <v>213.5</v>
      </c>
      <c r="AB15" s="10" t="s">
        <v>102</v>
      </c>
      <c r="AC15" s="10">
        <v>195.2</v>
      </c>
      <c r="AD15" s="88">
        <v>207.4</v>
      </c>
      <c r="AE15" s="82" t="s">
        <v>199</v>
      </c>
      <c r="AF15" s="87">
        <v>120</v>
      </c>
    </row>
    <row r="16" spans="1:32" x14ac:dyDescent="0.25">
      <c r="A16" s="10" t="s">
        <v>103</v>
      </c>
      <c r="B16" s="13">
        <v>360.74</v>
      </c>
      <c r="C16" s="10" t="s">
        <v>104</v>
      </c>
      <c r="D16" s="13">
        <v>253.76</v>
      </c>
      <c r="E16" s="37" t="s">
        <v>105</v>
      </c>
      <c r="F16" s="52">
        <v>150</v>
      </c>
      <c r="G16" s="37" t="s">
        <v>43</v>
      </c>
      <c r="H16" s="22">
        <v>128.1</v>
      </c>
      <c r="I16" s="10" t="s">
        <v>97</v>
      </c>
      <c r="J16" s="22">
        <v>695.4</v>
      </c>
      <c r="K16" s="10"/>
      <c r="L16" s="10"/>
      <c r="M16" s="10"/>
      <c r="N16" s="10"/>
      <c r="O16" s="10" t="s">
        <v>107</v>
      </c>
      <c r="P16" s="11">
        <v>86.62</v>
      </c>
      <c r="Q16" s="11">
        <v>97.6</v>
      </c>
      <c r="R16" s="10" t="s">
        <v>107</v>
      </c>
      <c r="S16" s="11">
        <v>86.62</v>
      </c>
      <c r="T16" s="10" t="s">
        <v>108</v>
      </c>
      <c r="U16" s="11">
        <v>125</v>
      </c>
      <c r="V16" s="10" t="s">
        <v>95</v>
      </c>
      <c r="W16" s="11">
        <v>190</v>
      </c>
      <c r="X16" s="10" t="s">
        <v>107</v>
      </c>
      <c r="Y16" s="11">
        <v>86.62</v>
      </c>
      <c r="Z16" s="10" t="s">
        <v>109</v>
      </c>
      <c r="AA16" s="10">
        <v>1037</v>
      </c>
      <c r="AB16" s="10" t="s">
        <v>110</v>
      </c>
      <c r="AC16" s="10">
        <v>268.39999999999998</v>
      </c>
      <c r="AD16" s="88">
        <v>292.8</v>
      </c>
    </row>
    <row r="17" spans="1:30" ht="15.75" thickBot="1" x14ac:dyDescent="0.3">
      <c r="A17" s="10"/>
      <c r="B17" s="65"/>
      <c r="C17" s="10" t="s">
        <v>111</v>
      </c>
      <c r="D17" s="13">
        <v>124.44</v>
      </c>
      <c r="E17" s="70"/>
      <c r="F17" s="46"/>
      <c r="G17" s="37"/>
      <c r="H17" s="10"/>
      <c r="I17" s="10" t="s">
        <v>106</v>
      </c>
      <c r="J17" s="22">
        <v>1122.4000000000001</v>
      </c>
      <c r="K17" s="10"/>
      <c r="L17" s="10"/>
      <c r="M17" s="10"/>
      <c r="N17" s="10"/>
      <c r="O17" s="10" t="s">
        <v>113</v>
      </c>
      <c r="P17" s="11">
        <v>212.28</v>
      </c>
      <c r="Q17" s="11">
        <v>233.5</v>
      </c>
      <c r="R17" s="10" t="s">
        <v>114</v>
      </c>
      <c r="S17" s="11">
        <v>212.28</v>
      </c>
      <c r="T17" s="10" t="s">
        <v>115</v>
      </c>
      <c r="U17" s="11">
        <v>100</v>
      </c>
      <c r="V17" s="10" t="s">
        <v>104</v>
      </c>
      <c r="W17" s="11">
        <v>105</v>
      </c>
      <c r="X17" s="10" t="s">
        <v>114</v>
      </c>
      <c r="Y17" s="11">
        <v>212.28</v>
      </c>
      <c r="Z17" s="10" t="s">
        <v>104</v>
      </c>
      <c r="AA17" s="10">
        <v>152.5</v>
      </c>
      <c r="AB17" s="10" t="s">
        <v>116</v>
      </c>
      <c r="AC17" s="10">
        <v>183</v>
      </c>
      <c r="AD17" s="10">
        <v>183</v>
      </c>
    </row>
    <row r="18" spans="1:30" x14ac:dyDescent="0.25">
      <c r="A18" s="10"/>
      <c r="B18" s="10"/>
      <c r="C18" s="10" t="s">
        <v>70</v>
      </c>
      <c r="D18" s="13">
        <v>1356.64</v>
      </c>
      <c r="G18" s="10"/>
      <c r="H18" s="10"/>
      <c r="I18" s="10" t="s">
        <v>112</v>
      </c>
      <c r="J18" s="22">
        <v>1329.8</v>
      </c>
      <c r="K18" s="73"/>
      <c r="L18" s="10"/>
      <c r="M18" s="10"/>
      <c r="N18" s="37"/>
      <c r="O18" s="10" t="s">
        <v>118</v>
      </c>
      <c r="P18" s="11">
        <v>668.56</v>
      </c>
      <c r="Q18" s="11">
        <v>1098</v>
      </c>
      <c r="R18" s="10" t="s">
        <v>119</v>
      </c>
      <c r="S18" s="11">
        <v>668.56</v>
      </c>
      <c r="T18" s="10" t="s">
        <v>70</v>
      </c>
      <c r="U18" s="11">
        <v>600</v>
      </c>
      <c r="V18" s="10" t="s">
        <v>43</v>
      </c>
      <c r="W18" s="11">
        <v>105</v>
      </c>
      <c r="X18" s="10" t="s">
        <v>119</v>
      </c>
      <c r="Y18" s="11">
        <v>668.56</v>
      </c>
      <c r="Z18" s="10" t="s">
        <v>120</v>
      </c>
      <c r="AA18" s="10">
        <v>152.5</v>
      </c>
      <c r="AB18" s="10" t="s">
        <v>121</v>
      </c>
      <c r="AC18" s="10">
        <v>244</v>
      </c>
      <c r="AD18" s="10">
        <v>244</v>
      </c>
    </row>
    <row r="19" spans="1:30" x14ac:dyDescent="0.25">
      <c r="A19" s="10" t="s">
        <v>122</v>
      </c>
      <c r="B19" s="10"/>
      <c r="C19" s="10" t="s">
        <v>43</v>
      </c>
      <c r="D19" s="13">
        <v>180.56</v>
      </c>
      <c r="G19" s="10"/>
      <c r="H19" s="9"/>
      <c r="I19" s="10" t="s">
        <v>117</v>
      </c>
      <c r="J19" s="22">
        <v>3757.6</v>
      </c>
      <c r="K19" s="10"/>
      <c r="L19" s="10"/>
      <c r="M19" s="10"/>
      <c r="N19" s="10"/>
      <c r="O19" s="10" t="s">
        <v>123</v>
      </c>
      <c r="P19" s="11">
        <v>334.28</v>
      </c>
      <c r="Q19" s="11">
        <v>549</v>
      </c>
      <c r="R19" s="10" t="s">
        <v>124</v>
      </c>
      <c r="S19" s="11">
        <v>334.28</v>
      </c>
      <c r="T19" s="10"/>
      <c r="U19" s="10"/>
      <c r="V19" s="10" t="s">
        <v>70</v>
      </c>
      <c r="W19" s="11">
        <v>1100</v>
      </c>
      <c r="X19" s="10" t="s">
        <v>124</v>
      </c>
      <c r="Y19" s="11">
        <v>334.28</v>
      </c>
      <c r="AB19" s="10" t="s">
        <v>125</v>
      </c>
      <c r="AC19" s="10">
        <v>976</v>
      </c>
      <c r="AD19" s="10">
        <v>976</v>
      </c>
    </row>
    <row r="20" spans="1:30" x14ac:dyDescent="0.25">
      <c r="A20" s="10"/>
      <c r="B20" s="10"/>
      <c r="C20" s="22" t="s">
        <v>126</v>
      </c>
      <c r="D20" s="13">
        <v>2341.1799999999998</v>
      </c>
      <c r="G20" s="10"/>
      <c r="H20" s="10"/>
      <c r="I20" s="10"/>
      <c r="J20" s="10"/>
      <c r="K20" s="10"/>
      <c r="L20" s="10"/>
      <c r="M20" s="10"/>
      <c r="N20" s="10"/>
      <c r="O20" s="10" t="s">
        <v>127</v>
      </c>
      <c r="P20" s="11">
        <v>217.16</v>
      </c>
      <c r="Q20" s="11">
        <v>244</v>
      </c>
      <c r="R20" s="10" t="s">
        <v>127</v>
      </c>
      <c r="S20" s="11">
        <v>217.16</v>
      </c>
      <c r="T20" s="10"/>
      <c r="U20" s="10"/>
      <c r="V20" s="10"/>
      <c r="W20" s="10"/>
      <c r="X20" s="10" t="s">
        <v>127</v>
      </c>
      <c r="Y20" s="11">
        <v>217.16</v>
      </c>
      <c r="AB20" s="10" t="s">
        <v>128</v>
      </c>
      <c r="AC20" s="10">
        <v>183</v>
      </c>
      <c r="AD20" s="10">
        <v>183</v>
      </c>
    </row>
    <row r="21" spans="1:30" x14ac:dyDescent="0.25">
      <c r="B21" s="10"/>
      <c r="C21" s="10" t="s">
        <v>178</v>
      </c>
      <c r="D21" s="13">
        <v>2393.64</v>
      </c>
      <c r="G21" s="10"/>
      <c r="H21" s="10"/>
      <c r="I21" s="10"/>
      <c r="J21" s="10"/>
      <c r="K21" s="10"/>
      <c r="L21" s="10"/>
      <c r="M21" s="10"/>
      <c r="N21" s="10"/>
      <c r="O21" s="10" t="s">
        <v>130</v>
      </c>
      <c r="P21" s="11">
        <v>1050.42</v>
      </c>
      <c r="Q21" s="11">
        <v>1050.42</v>
      </c>
      <c r="R21" s="10" t="s">
        <v>130</v>
      </c>
      <c r="S21" s="11">
        <v>1050.42</v>
      </c>
      <c r="T21" s="10"/>
      <c r="U21" s="10"/>
      <c r="V21" s="10"/>
      <c r="W21" s="10"/>
      <c r="X21" s="10" t="s">
        <v>130</v>
      </c>
      <c r="Y21" s="11">
        <v>1050.42</v>
      </c>
      <c r="Z21" s="96"/>
      <c r="AA21" s="96"/>
      <c r="AB21" s="96"/>
      <c r="AC21" s="96"/>
      <c r="AD21" s="85"/>
    </row>
    <row r="22" spans="1:30" ht="18" x14ac:dyDescent="0.35">
      <c r="A22" s="10"/>
      <c r="B22" s="10"/>
      <c r="C22" s="10" t="s">
        <v>131</v>
      </c>
      <c r="D22" s="13">
        <v>64.66</v>
      </c>
      <c r="G22" s="10"/>
      <c r="H22" s="10"/>
      <c r="I22" s="10"/>
      <c r="J22" s="10"/>
      <c r="K22" s="10"/>
      <c r="L22" s="10"/>
      <c r="M22" s="10"/>
      <c r="N22" s="10"/>
      <c r="O22" s="10" t="s">
        <v>132</v>
      </c>
      <c r="P22" s="11">
        <v>485.56</v>
      </c>
      <c r="Q22" s="11">
        <v>485.56</v>
      </c>
      <c r="R22" s="10" t="s">
        <v>132</v>
      </c>
      <c r="S22" s="11">
        <v>485.56</v>
      </c>
      <c r="T22" s="10"/>
      <c r="U22" s="10"/>
      <c r="V22" s="10"/>
      <c r="W22" s="10"/>
      <c r="X22" s="10" t="s">
        <v>132</v>
      </c>
      <c r="Y22" s="11">
        <v>485.56</v>
      </c>
      <c r="AB22" s="25"/>
    </row>
    <row r="23" spans="1:30" ht="15.75" x14ac:dyDescent="0.3">
      <c r="A23" s="10"/>
      <c r="B23" s="10"/>
      <c r="C23" s="10" t="s">
        <v>133</v>
      </c>
      <c r="D23" s="13">
        <v>124.44</v>
      </c>
      <c r="G23" s="10"/>
      <c r="H23" s="10"/>
      <c r="I23" s="10"/>
      <c r="J23" s="10"/>
      <c r="K23" s="10"/>
      <c r="L23" s="10"/>
      <c r="M23" s="10"/>
      <c r="N23" s="10"/>
      <c r="O23" s="10" t="s">
        <v>134</v>
      </c>
      <c r="P23" s="11">
        <v>114.68</v>
      </c>
      <c r="Q23" s="11">
        <v>152.5</v>
      </c>
      <c r="R23" s="10" t="s">
        <v>134</v>
      </c>
      <c r="S23" s="11">
        <v>114.68</v>
      </c>
      <c r="T23" s="10"/>
      <c r="U23" s="10"/>
      <c r="V23" s="10"/>
      <c r="W23" s="10"/>
      <c r="X23" s="10" t="s">
        <v>134</v>
      </c>
      <c r="Y23" s="11">
        <v>114.68</v>
      </c>
      <c r="AB23" s="26"/>
    </row>
    <row r="24" spans="1:30" ht="15.75" x14ac:dyDescent="0.3">
      <c r="A24" s="10"/>
      <c r="B24" s="10"/>
      <c r="C24" s="10" t="s">
        <v>135</v>
      </c>
      <c r="D24" s="13">
        <v>64.66</v>
      </c>
      <c r="G24" s="10"/>
      <c r="H24" s="10"/>
      <c r="I24" s="10"/>
      <c r="J24" s="10"/>
      <c r="K24" s="10"/>
      <c r="L24" s="10"/>
      <c r="M24" s="10"/>
      <c r="N24" s="10"/>
      <c r="O24" s="10" t="s">
        <v>111</v>
      </c>
      <c r="P24" s="11">
        <v>76.86</v>
      </c>
      <c r="Q24" s="11">
        <v>76.86</v>
      </c>
      <c r="R24" s="10" t="s">
        <v>111</v>
      </c>
      <c r="S24" s="11">
        <v>76.86</v>
      </c>
      <c r="T24" s="10"/>
      <c r="U24" s="10"/>
      <c r="V24" s="10"/>
      <c r="W24" s="10"/>
      <c r="X24" s="10" t="s">
        <v>111</v>
      </c>
      <c r="Y24" s="11">
        <v>76.86</v>
      </c>
      <c r="AB24" s="27"/>
    </row>
    <row r="25" spans="1:30" x14ac:dyDescent="0.25">
      <c r="A25" s="9"/>
      <c r="B25" s="9"/>
      <c r="C25" s="10" t="s">
        <v>136</v>
      </c>
      <c r="D25" s="13">
        <v>92.72</v>
      </c>
      <c r="G25" s="10"/>
      <c r="H25" s="10"/>
      <c r="I25" s="10"/>
      <c r="J25" s="10"/>
      <c r="K25" s="10"/>
      <c r="L25" s="10"/>
      <c r="M25" s="10"/>
      <c r="N25" s="10"/>
      <c r="O25" s="10" t="s">
        <v>70</v>
      </c>
      <c r="P25" s="11">
        <v>829.6</v>
      </c>
      <c r="Q25" s="11">
        <v>915</v>
      </c>
      <c r="R25" s="10" t="s">
        <v>70</v>
      </c>
      <c r="S25" s="11">
        <v>829.6</v>
      </c>
      <c r="T25" s="10"/>
      <c r="U25" s="10"/>
      <c r="V25" s="10"/>
      <c r="W25" s="10"/>
      <c r="X25" s="10" t="s">
        <v>70</v>
      </c>
      <c r="Y25" s="11">
        <v>829.6</v>
      </c>
    </row>
    <row r="26" spans="1:30" x14ac:dyDescent="0.25">
      <c r="C26" s="10" t="s">
        <v>137</v>
      </c>
      <c r="D26" s="13">
        <v>240.34</v>
      </c>
      <c r="O26" s="10" t="s">
        <v>138</v>
      </c>
      <c r="P26" s="11">
        <v>37</v>
      </c>
      <c r="Q26" s="11">
        <v>36.6</v>
      </c>
    </row>
    <row r="27" spans="1:30" x14ac:dyDescent="0.25">
      <c r="C27" s="10" t="s">
        <v>177</v>
      </c>
      <c r="D27" s="13">
        <v>3989.4</v>
      </c>
      <c r="O27" s="10" t="s">
        <v>139</v>
      </c>
      <c r="P27" s="11">
        <v>39</v>
      </c>
      <c r="Q27" s="11">
        <v>56.12</v>
      </c>
    </row>
    <row r="28" spans="1:30" x14ac:dyDescent="0.25">
      <c r="O28" s="10" t="s">
        <v>140</v>
      </c>
      <c r="P28" s="11">
        <v>28</v>
      </c>
      <c r="Q28" s="11">
        <v>36.6</v>
      </c>
    </row>
    <row r="29" spans="1:30" x14ac:dyDescent="0.25">
      <c r="O29" s="10" t="s">
        <v>141</v>
      </c>
      <c r="P29" s="11">
        <v>37</v>
      </c>
      <c r="Q29" s="11">
        <v>36.6</v>
      </c>
    </row>
    <row r="30" spans="1:30" x14ac:dyDescent="0.25">
      <c r="B30" s="64"/>
      <c r="O30" s="10" t="s">
        <v>142</v>
      </c>
      <c r="P30" s="11">
        <v>31</v>
      </c>
      <c r="Q30" s="11"/>
    </row>
    <row r="32" spans="1:30" x14ac:dyDescent="0.25">
      <c r="F32" s="49"/>
    </row>
  </sheetData>
  <mergeCells count="15">
    <mergeCell ref="X6:Y6"/>
    <mergeCell ref="Z6:AA6"/>
    <mergeCell ref="AB6:AD6"/>
    <mergeCell ref="AE6:AF6"/>
    <mergeCell ref="Z21:AC21"/>
    <mergeCell ref="L3:N3"/>
    <mergeCell ref="AC3:AD3"/>
    <mergeCell ref="Z5:AA5"/>
    <mergeCell ref="AB5:AD5"/>
    <mergeCell ref="AE5:AF5"/>
    <mergeCell ref="C6:D6"/>
    <mergeCell ref="E6:F6"/>
    <mergeCell ref="G6:H6"/>
    <mergeCell ref="I6:J6"/>
    <mergeCell ref="O6:P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E2F1-84D7-48AC-87BF-A4E82BEF695E}">
  <dimension ref="A1:AH32"/>
  <sheetViews>
    <sheetView topLeftCell="D1" workbookViewId="0">
      <selection activeCell="K8" sqref="K8"/>
    </sheetView>
  </sheetViews>
  <sheetFormatPr baseColWidth="10" defaultColWidth="9.140625" defaultRowHeight="15" x14ac:dyDescent="0.25"/>
  <cols>
    <col min="1" max="1" width="37.42578125" customWidth="1"/>
    <col min="2" max="4" width="34.5703125" customWidth="1"/>
    <col min="5" max="5" width="22.7109375" customWidth="1"/>
    <col min="6" max="6" width="18.85546875" customWidth="1"/>
    <col min="7" max="7" width="20.7109375" customWidth="1"/>
    <col min="8" max="8" width="21.28515625" customWidth="1"/>
    <col min="9" max="11" width="25.85546875" customWidth="1"/>
    <col min="12" max="12" width="29.5703125" customWidth="1"/>
    <col min="13" max="13" width="43.85546875" customWidth="1"/>
    <col min="14" max="14" width="27" customWidth="1"/>
    <col min="15" max="15" width="1.5703125" customWidth="1"/>
    <col min="16" max="16" width="26.7109375" customWidth="1"/>
    <col min="17" max="17" width="33" customWidth="1"/>
    <col min="18" max="18" width="13.28515625" customWidth="1"/>
    <col min="19" max="19" width="12.5703125" customWidth="1"/>
    <col min="20" max="20" width="24.140625" customWidth="1"/>
    <col min="21" max="21" width="15.85546875" customWidth="1"/>
    <col min="22" max="22" width="24.140625" customWidth="1"/>
    <col min="23" max="23" width="11.140625" customWidth="1"/>
    <col min="24" max="24" width="27" customWidth="1"/>
    <col min="25" max="25" width="39.5703125" customWidth="1"/>
    <col min="26" max="26" width="23.28515625" customWidth="1"/>
    <col min="27" max="27" width="19.140625" customWidth="1"/>
    <col min="28" max="28" width="19.28515625" customWidth="1"/>
    <col min="29" max="29" width="14.85546875" customWidth="1"/>
    <col min="30" max="30" width="25.7109375" customWidth="1"/>
    <col min="31" max="31" width="18.140625" customWidth="1"/>
    <col min="32" max="32" width="19.42578125" customWidth="1"/>
    <col min="33" max="33" width="23.7109375" customWidth="1"/>
    <col min="34" max="34" width="19.28515625" customWidth="1"/>
  </cols>
  <sheetData>
    <row r="1" spans="1:34" x14ac:dyDescent="0.25">
      <c r="A1" s="3" t="s">
        <v>0</v>
      </c>
      <c r="B1" s="3"/>
    </row>
    <row r="2" spans="1:34" ht="15.75" thickBot="1" x14ac:dyDescent="0.3"/>
    <row r="3" spans="1:34" ht="15.75" thickBot="1" x14ac:dyDescent="0.3">
      <c r="A3" s="2" t="s">
        <v>1</v>
      </c>
      <c r="B3" s="29"/>
      <c r="C3" s="2" t="s">
        <v>1</v>
      </c>
      <c r="D3" s="32">
        <v>0.4</v>
      </c>
      <c r="E3" s="2" t="s">
        <v>1</v>
      </c>
      <c r="F3" s="51">
        <v>0.25</v>
      </c>
      <c r="G3" s="29" t="s">
        <v>1</v>
      </c>
      <c r="H3" s="4" t="s">
        <v>2</v>
      </c>
      <c r="I3" s="2" t="s">
        <v>1</v>
      </c>
      <c r="J3" s="29"/>
      <c r="K3" s="29"/>
      <c r="L3" s="4">
        <v>1</v>
      </c>
      <c r="M3" s="2" t="s">
        <v>1</v>
      </c>
      <c r="N3" s="97" t="s">
        <v>2</v>
      </c>
      <c r="O3" s="97"/>
      <c r="P3" s="98"/>
      <c r="Q3" s="2" t="s">
        <v>1</v>
      </c>
      <c r="R3" s="29"/>
      <c r="S3" s="4">
        <v>0.25</v>
      </c>
      <c r="T3" s="2" t="s">
        <v>1</v>
      </c>
      <c r="U3" s="8" t="s">
        <v>2</v>
      </c>
      <c r="V3" s="2" t="s">
        <v>1</v>
      </c>
      <c r="W3" s="4">
        <v>1</v>
      </c>
      <c r="X3" s="2" t="s">
        <v>1</v>
      </c>
      <c r="Y3" s="8">
        <v>0.15</v>
      </c>
      <c r="Z3" s="2" t="s">
        <v>1</v>
      </c>
      <c r="AA3" s="8" t="s">
        <v>2</v>
      </c>
      <c r="AB3" s="2" t="s">
        <v>1</v>
      </c>
      <c r="AC3" s="8" t="s">
        <v>2</v>
      </c>
      <c r="AD3" s="2" t="s">
        <v>1</v>
      </c>
      <c r="AE3" s="99" t="s">
        <v>2</v>
      </c>
      <c r="AF3" s="104"/>
      <c r="AG3" s="2" t="s">
        <v>1</v>
      </c>
      <c r="AH3" s="81">
        <v>1</v>
      </c>
    </row>
    <row r="4" spans="1:34" ht="15.75" thickBot="1" x14ac:dyDescent="0.3">
      <c r="A4" s="1" t="s">
        <v>3</v>
      </c>
      <c r="E4" s="38"/>
    </row>
    <row r="5" spans="1:34" ht="15.75" thickBot="1" x14ac:dyDescent="0.3">
      <c r="A5" s="2" t="s">
        <v>4</v>
      </c>
      <c r="B5" s="29" t="s">
        <v>184</v>
      </c>
      <c r="C5" s="2" t="s">
        <v>4</v>
      </c>
      <c r="D5" s="29" t="s">
        <v>6</v>
      </c>
      <c r="E5" s="2" t="s">
        <v>4</v>
      </c>
      <c r="F5" s="7" t="s">
        <v>7</v>
      </c>
      <c r="G5" s="29" t="s">
        <v>4</v>
      </c>
      <c r="H5" s="7" t="s">
        <v>194</v>
      </c>
      <c r="I5" s="2" t="s">
        <v>4</v>
      </c>
      <c r="J5" s="29"/>
      <c r="K5" s="29"/>
      <c r="L5" s="7" t="s">
        <v>8</v>
      </c>
      <c r="M5" s="2" t="s">
        <v>9</v>
      </c>
      <c r="N5" s="7" t="s">
        <v>8</v>
      </c>
      <c r="O5" s="7"/>
      <c r="P5" s="72" t="s">
        <v>179</v>
      </c>
      <c r="Q5" s="2" t="s">
        <v>4</v>
      </c>
      <c r="R5" s="29"/>
      <c r="S5" s="7" t="s">
        <v>10</v>
      </c>
      <c r="T5" s="2" t="s">
        <v>11</v>
      </c>
      <c r="U5" s="7" t="s">
        <v>8</v>
      </c>
      <c r="V5" s="2" t="s">
        <v>4</v>
      </c>
      <c r="W5" s="7" t="s">
        <v>8</v>
      </c>
      <c r="X5" s="2" t="s">
        <v>4</v>
      </c>
      <c r="Y5" s="7" t="s">
        <v>193</v>
      </c>
      <c r="Z5" s="2" t="s">
        <v>13</v>
      </c>
      <c r="AA5" s="7" t="s">
        <v>8</v>
      </c>
      <c r="AB5" s="101" t="s">
        <v>14</v>
      </c>
      <c r="AC5" s="102"/>
      <c r="AD5" s="101" t="s">
        <v>4</v>
      </c>
      <c r="AE5" s="103"/>
      <c r="AF5" s="102"/>
      <c r="AG5" s="99" t="s">
        <v>4</v>
      </c>
      <c r="AH5" s="104"/>
    </row>
    <row r="6" spans="1:34" x14ac:dyDescent="0.25">
      <c r="A6" s="77" t="s">
        <v>15</v>
      </c>
      <c r="B6" s="75"/>
      <c r="C6" s="105" t="s">
        <v>16</v>
      </c>
      <c r="D6" s="105"/>
      <c r="E6" s="106" t="s">
        <v>17</v>
      </c>
      <c r="F6" s="105"/>
      <c r="G6" s="95" t="s">
        <v>18</v>
      </c>
      <c r="H6" s="95"/>
      <c r="I6" s="105" t="s">
        <v>19</v>
      </c>
      <c r="J6" s="105"/>
      <c r="K6" s="105"/>
      <c r="L6" s="105"/>
      <c r="M6" s="17" t="s">
        <v>20</v>
      </c>
      <c r="N6" s="17"/>
      <c r="O6" s="17"/>
      <c r="P6" s="17"/>
      <c r="Q6" s="95" t="s">
        <v>21</v>
      </c>
      <c r="R6" s="95"/>
      <c r="S6" s="17"/>
      <c r="T6" s="17" t="s">
        <v>22</v>
      </c>
      <c r="U6" s="17"/>
      <c r="V6" s="17" t="s">
        <v>23</v>
      </c>
      <c r="W6" s="17"/>
      <c r="X6" s="17" t="s">
        <v>185</v>
      </c>
      <c r="Y6" s="17"/>
      <c r="Z6" s="95" t="s">
        <v>25</v>
      </c>
      <c r="AA6" s="95"/>
      <c r="AB6" s="95" t="s">
        <v>26</v>
      </c>
      <c r="AC6" s="95"/>
      <c r="AD6" s="95" t="s">
        <v>27</v>
      </c>
      <c r="AE6" s="95"/>
      <c r="AF6" s="95"/>
      <c r="AG6" s="95" t="s">
        <v>201</v>
      </c>
      <c r="AH6" s="95"/>
    </row>
    <row r="7" spans="1:34" x14ac:dyDescent="0.25">
      <c r="A7" s="9" t="s">
        <v>28</v>
      </c>
      <c r="B7" s="9" t="s">
        <v>180</v>
      </c>
      <c r="C7" s="9" t="s">
        <v>28</v>
      </c>
      <c r="D7" s="33" t="s">
        <v>30</v>
      </c>
      <c r="E7" s="40" t="s">
        <v>28</v>
      </c>
      <c r="F7" s="53" t="s">
        <v>30</v>
      </c>
      <c r="G7" s="36" t="s">
        <v>28</v>
      </c>
      <c r="H7" s="9" t="s">
        <v>195</v>
      </c>
      <c r="I7" s="9" t="s">
        <v>28</v>
      </c>
      <c r="J7" s="9" t="s">
        <v>30</v>
      </c>
      <c r="K7" s="9" t="s">
        <v>196</v>
      </c>
      <c r="L7" s="9" t="s">
        <v>197</v>
      </c>
      <c r="M7" s="9" t="s">
        <v>28</v>
      </c>
      <c r="N7" s="9" t="s">
        <v>31</v>
      </c>
      <c r="O7" s="30" t="s">
        <v>181</v>
      </c>
      <c r="P7" s="9" t="s">
        <v>180</v>
      </c>
      <c r="Q7" s="9" t="s">
        <v>28</v>
      </c>
      <c r="R7" s="9" t="s">
        <v>31</v>
      </c>
      <c r="S7" s="63" t="s">
        <v>29</v>
      </c>
      <c r="T7" s="9" t="s">
        <v>28</v>
      </c>
      <c r="U7" s="9" t="s">
        <v>31</v>
      </c>
      <c r="V7" s="9" t="s">
        <v>28</v>
      </c>
      <c r="W7" s="9" t="s">
        <v>31</v>
      </c>
      <c r="X7" s="9" t="s">
        <v>28</v>
      </c>
      <c r="Y7" s="9" t="s">
        <v>186</v>
      </c>
      <c r="Z7" s="9" t="s">
        <v>28</v>
      </c>
      <c r="AA7" s="9" t="s">
        <v>31</v>
      </c>
      <c r="AB7" s="9" t="s">
        <v>32</v>
      </c>
      <c r="AC7" s="9" t="s">
        <v>33</v>
      </c>
      <c r="AD7" s="9" t="s">
        <v>32</v>
      </c>
      <c r="AE7" s="9" t="s">
        <v>34</v>
      </c>
      <c r="AF7" s="9" t="s">
        <v>35</v>
      </c>
      <c r="AG7" s="9" t="s">
        <v>32</v>
      </c>
      <c r="AH7" s="9" t="s">
        <v>33</v>
      </c>
    </row>
    <row r="8" spans="1:34" x14ac:dyDescent="0.25">
      <c r="A8" s="10" t="s">
        <v>36</v>
      </c>
      <c r="B8" s="13">
        <v>290.27</v>
      </c>
      <c r="C8" s="10" t="s">
        <v>37</v>
      </c>
      <c r="D8" s="65">
        <v>145.18</v>
      </c>
      <c r="E8" s="41" t="s">
        <v>38</v>
      </c>
      <c r="F8" s="52">
        <v>100</v>
      </c>
      <c r="G8" s="37" t="s">
        <v>39</v>
      </c>
      <c r="H8" s="22">
        <v>108.89</v>
      </c>
      <c r="I8" s="10" t="s">
        <v>198</v>
      </c>
      <c r="J8" s="11">
        <v>128.1</v>
      </c>
      <c r="K8" s="60">
        <f t="shared" ref="K8:K13" si="0">L8*100/J8-100</f>
        <v>9.5238095238095468</v>
      </c>
      <c r="L8" s="79">
        <v>140.30000000000001</v>
      </c>
      <c r="M8" s="10" t="s">
        <v>41</v>
      </c>
      <c r="N8" s="11">
        <v>103.7</v>
      </c>
      <c r="O8" s="57">
        <f t="shared" ref="O8:O15" si="1">P8*100/N8-100</f>
        <v>17.647058823529406</v>
      </c>
      <c r="P8" s="65">
        <v>122</v>
      </c>
      <c r="Q8" s="10" t="s">
        <v>42</v>
      </c>
      <c r="R8" s="11">
        <v>86.62</v>
      </c>
      <c r="S8" s="11">
        <v>97.6</v>
      </c>
      <c r="T8" s="10" t="s">
        <v>42</v>
      </c>
      <c r="U8" s="11">
        <v>86.62</v>
      </c>
      <c r="V8" s="10" t="s">
        <v>43</v>
      </c>
      <c r="W8" s="11">
        <v>90</v>
      </c>
      <c r="X8" s="10" t="s">
        <v>187</v>
      </c>
      <c r="Y8" s="11">
        <v>105</v>
      </c>
      <c r="Z8" s="10" t="s">
        <v>42</v>
      </c>
      <c r="AA8" s="11">
        <v>86.62</v>
      </c>
      <c r="AB8" s="10" t="s">
        <v>39</v>
      </c>
      <c r="AC8" s="10">
        <v>122</v>
      </c>
      <c r="AD8" s="10" t="s">
        <v>44</v>
      </c>
      <c r="AE8" s="10">
        <v>87.84</v>
      </c>
      <c r="AF8" s="10">
        <v>112.24</v>
      </c>
      <c r="AG8" s="18" t="s">
        <v>43</v>
      </c>
      <c r="AH8" s="83">
        <v>100</v>
      </c>
    </row>
    <row r="9" spans="1:34" x14ac:dyDescent="0.25">
      <c r="A9" s="10" t="s">
        <v>45</v>
      </c>
      <c r="B9" s="13">
        <v>405.83</v>
      </c>
      <c r="C9" s="10" t="s">
        <v>46</v>
      </c>
      <c r="D9" s="65">
        <v>196.42</v>
      </c>
      <c r="E9" s="41" t="s">
        <v>47</v>
      </c>
      <c r="F9" s="52">
        <v>60</v>
      </c>
      <c r="G9" s="37" t="s">
        <v>48</v>
      </c>
      <c r="H9" s="22">
        <v>147.32</v>
      </c>
      <c r="I9" t="s">
        <v>199</v>
      </c>
      <c r="J9" s="11">
        <v>201.3</v>
      </c>
      <c r="K9" s="60">
        <f t="shared" si="0"/>
        <v>9.0909090909090793</v>
      </c>
      <c r="L9" s="79">
        <v>219.6</v>
      </c>
      <c r="M9" s="10" t="s">
        <v>50</v>
      </c>
      <c r="N9" s="11">
        <v>146.4</v>
      </c>
      <c r="O9" s="57">
        <f t="shared" si="1"/>
        <v>16.666666666666657</v>
      </c>
      <c r="P9" s="65">
        <v>170.8</v>
      </c>
      <c r="Q9" s="10" t="s">
        <v>51</v>
      </c>
      <c r="R9" s="11">
        <v>129.32</v>
      </c>
      <c r="S9" s="11">
        <v>146.4</v>
      </c>
      <c r="T9" s="10" t="s">
        <v>51</v>
      </c>
      <c r="U9" s="11">
        <v>129.32</v>
      </c>
      <c r="V9" s="10" t="s">
        <v>52</v>
      </c>
      <c r="W9" s="11">
        <v>90</v>
      </c>
      <c r="X9" s="10" t="s">
        <v>188</v>
      </c>
      <c r="Y9" s="11">
        <v>160</v>
      </c>
      <c r="Z9" s="10" t="s">
        <v>51</v>
      </c>
      <c r="AA9" s="11">
        <v>129.32</v>
      </c>
      <c r="AB9" s="10" t="s">
        <v>48</v>
      </c>
      <c r="AC9" s="10">
        <v>146.4</v>
      </c>
      <c r="AD9" s="10" t="s">
        <v>53</v>
      </c>
      <c r="AE9" s="10">
        <v>106.14</v>
      </c>
      <c r="AF9" s="10">
        <v>130.54</v>
      </c>
      <c r="AG9" s="18" t="s">
        <v>202</v>
      </c>
      <c r="AH9" s="83">
        <v>120</v>
      </c>
    </row>
    <row r="10" spans="1:34" x14ac:dyDescent="0.25">
      <c r="A10" s="10" t="s">
        <v>54</v>
      </c>
      <c r="B10" s="13">
        <v>435.42</v>
      </c>
      <c r="C10" s="10" t="s">
        <v>54</v>
      </c>
      <c r="D10" s="65">
        <v>506.3</v>
      </c>
      <c r="E10" s="41" t="s">
        <v>55</v>
      </c>
      <c r="F10" s="52">
        <v>90</v>
      </c>
      <c r="G10" s="37" t="s">
        <v>56</v>
      </c>
      <c r="H10" s="22">
        <v>294.63</v>
      </c>
      <c r="I10" s="10" t="s">
        <v>49</v>
      </c>
      <c r="J10" s="11">
        <v>103.7</v>
      </c>
      <c r="K10" s="60">
        <f t="shared" si="0"/>
        <v>10.588235294117638</v>
      </c>
      <c r="L10" s="79">
        <v>114.68</v>
      </c>
      <c r="M10" s="10" t="s">
        <v>58</v>
      </c>
      <c r="N10" s="11">
        <v>305</v>
      </c>
      <c r="O10" s="34">
        <f t="shared" si="1"/>
        <v>16</v>
      </c>
      <c r="P10" s="65">
        <v>353.8</v>
      </c>
      <c r="Q10" s="10" t="s">
        <v>59</v>
      </c>
      <c r="R10" s="11">
        <v>167.14</v>
      </c>
      <c r="S10" s="11">
        <v>219.6</v>
      </c>
      <c r="T10" s="10" t="s">
        <v>59</v>
      </c>
      <c r="U10" s="11">
        <v>167.14</v>
      </c>
      <c r="V10" s="10" t="s">
        <v>60</v>
      </c>
      <c r="W10" s="11">
        <v>100</v>
      </c>
      <c r="X10" s="10" t="s">
        <v>189</v>
      </c>
      <c r="Y10" s="11">
        <v>195</v>
      </c>
      <c r="Z10" s="10" t="s">
        <v>59</v>
      </c>
      <c r="AA10" s="11">
        <v>167.14</v>
      </c>
      <c r="AB10" s="10" t="s">
        <v>56</v>
      </c>
      <c r="AC10" s="10">
        <v>427</v>
      </c>
      <c r="AD10" s="10" t="s">
        <v>61</v>
      </c>
      <c r="AE10" s="10">
        <v>231.79999999999998</v>
      </c>
      <c r="AF10" s="10">
        <v>256.2</v>
      </c>
      <c r="AG10" s="18" t="s">
        <v>203</v>
      </c>
      <c r="AH10" s="83">
        <v>150</v>
      </c>
    </row>
    <row r="11" spans="1:34" x14ac:dyDescent="0.25">
      <c r="A11" s="10" t="s">
        <v>62</v>
      </c>
      <c r="B11" s="13">
        <v>1452.81</v>
      </c>
      <c r="C11" s="10" t="s">
        <v>63</v>
      </c>
      <c r="D11" s="65">
        <v>1111.42</v>
      </c>
      <c r="E11" s="41" t="s">
        <v>57</v>
      </c>
      <c r="F11" s="52">
        <v>120</v>
      </c>
      <c r="G11" s="37" t="s">
        <v>64</v>
      </c>
      <c r="H11" s="22">
        <v>236.99</v>
      </c>
      <c r="I11" s="10" t="s">
        <v>57</v>
      </c>
      <c r="J11" s="11">
        <v>103.7</v>
      </c>
      <c r="K11" s="60">
        <f t="shared" si="0"/>
        <v>10.588235294117638</v>
      </c>
      <c r="L11" s="79">
        <v>114.68</v>
      </c>
      <c r="M11" s="10" t="s">
        <v>66</v>
      </c>
      <c r="N11" s="11">
        <v>829.6</v>
      </c>
      <c r="O11" s="57">
        <f t="shared" si="1"/>
        <v>15.441176470588232</v>
      </c>
      <c r="P11" s="65">
        <v>957.7</v>
      </c>
      <c r="Q11" s="10" t="s">
        <v>67</v>
      </c>
      <c r="R11" s="11">
        <v>86.62</v>
      </c>
      <c r="S11" s="11">
        <v>97.6</v>
      </c>
      <c r="T11" s="10" t="s">
        <v>67</v>
      </c>
      <c r="U11" s="11">
        <v>86.62</v>
      </c>
      <c r="V11" s="10" t="s">
        <v>56</v>
      </c>
      <c r="W11" s="11">
        <v>200</v>
      </c>
      <c r="X11" s="10" t="s">
        <v>190</v>
      </c>
      <c r="Y11" s="11">
        <v>300</v>
      </c>
      <c r="Z11" s="10" t="s">
        <v>67</v>
      </c>
      <c r="AA11" s="11">
        <v>86.62</v>
      </c>
      <c r="AB11" s="10" t="s">
        <v>68</v>
      </c>
      <c r="AC11" s="10">
        <v>488</v>
      </c>
      <c r="AD11" s="10" t="s">
        <v>69</v>
      </c>
      <c r="AE11" s="10">
        <v>463.59999999999997</v>
      </c>
      <c r="AF11" s="10">
        <v>488</v>
      </c>
      <c r="AG11" s="18" t="s">
        <v>204</v>
      </c>
      <c r="AH11" s="83">
        <v>300</v>
      </c>
    </row>
    <row r="12" spans="1:34" x14ac:dyDescent="0.25">
      <c r="A12" s="10" t="s">
        <v>70</v>
      </c>
      <c r="B12" s="13">
        <v>2071.42</v>
      </c>
      <c r="C12" s="10" t="s">
        <v>71</v>
      </c>
      <c r="D12" s="13">
        <v>1836.1</v>
      </c>
      <c r="E12" s="37" t="s">
        <v>72</v>
      </c>
      <c r="F12" s="52">
        <v>200</v>
      </c>
      <c r="G12" s="37" t="s">
        <v>73</v>
      </c>
      <c r="H12" s="22">
        <v>653.30999999999995</v>
      </c>
      <c r="I12" s="10" t="s">
        <v>65</v>
      </c>
      <c r="J12" s="11">
        <v>115.9</v>
      </c>
      <c r="K12" s="60">
        <f t="shared" si="0"/>
        <v>10.526315789473685</v>
      </c>
      <c r="L12" s="79">
        <v>128.1</v>
      </c>
      <c r="M12" s="10" t="s">
        <v>74</v>
      </c>
      <c r="N12" s="11">
        <v>1018.7</v>
      </c>
      <c r="O12" s="57">
        <f t="shared" si="1"/>
        <v>14.970059880239518</v>
      </c>
      <c r="P12" s="65">
        <v>1171.2</v>
      </c>
      <c r="Q12" s="10" t="s">
        <v>75</v>
      </c>
      <c r="R12" s="11">
        <v>114.68</v>
      </c>
      <c r="S12" s="11">
        <v>152.5</v>
      </c>
      <c r="T12" s="10" t="s">
        <v>75</v>
      </c>
      <c r="U12" s="11">
        <v>114.68</v>
      </c>
      <c r="V12" s="10" t="s">
        <v>76</v>
      </c>
      <c r="W12" s="11">
        <v>180</v>
      </c>
      <c r="X12" s="10" t="s">
        <v>68</v>
      </c>
      <c r="Y12" s="11">
        <v>180</v>
      </c>
      <c r="Z12" s="10" t="s">
        <v>75</v>
      </c>
      <c r="AA12" s="11">
        <v>114.68</v>
      </c>
      <c r="AB12" s="10" t="s">
        <v>78</v>
      </c>
      <c r="AC12" s="10">
        <v>1098</v>
      </c>
      <c r="AD12" s="10" t="s">
        <v>79</v>
      </c>
      <c r="AE12" s="10">
        <v>829.6</v>
      </c>
      <c r="AF12" s="10">
        <v>854</v>
      </c>
      <c r="AG12" s="18" t="s">
        <v>205</v>
      </c>
      <c r="AH12" s="83">
        <v>700</v>
      </c>
    </row>
    <row r="13" spans="1:34" x14ac:dyDescent="0.25">
      <c r="A13" s="10" t="s">
        <v>80</v>
      </c>
      <c r="B13" s="13">
        <v>186.01</v>
      </c>
      <c r="C13" s="18" t="s">
        <v>81</v>
      </c>
      <c r="D13" s="13">
        <v>3989.4</v>
      </c>
      <c r="E13" s="37" t="s">
        <v>82</v>
      </c>
      <c r="F13" s="52">
        <v>200</v>
      </c>
      <c r="G13" s="37" t="s">
        <v>83</v>
      </c>
      <c r="H13" s="22">
        <v>1018.4</v>
      </c>
      <c r="I13" s="10" t="s">
        <v>58</v>
      </c>
      <c r="J13" s="11">
        <v>244</v>
      </c>
      <c r="K13" s="60">
        <f t="shared" si="0"/>
        <v>9.9999999999999858</v>
      </c>
      <c r="L13" s="79">
        <v>268.39999999999998</v>
      </c>
      <c r="M13" s="10" t="s">
        <v>40</v>
      </c>
      <c r="N13" s="11">
        <v>146.4</v>
      </c>
      <c r="O13" s="57">
        <f t="shared" si="1"/>
        <v>16.666666666666657</v>
      </c>
      <c r="P13" s="65">
        <v>170.8</v>
      </c>
      <c r="Q13" s="10" t="s">
        <v>85</v>
      </c>
      <c r="R13" s="11">
        <v>86.62</v>
      </c>
      <c r="S13" s="11">
        <v>97.6</v>
      </c>
      <c r="T13" s="10" t="s">
        <v>85</v>
      </c>
      <c r="U13" s="11">
        <v>86.62</v>
      </c>
      <c r="V13" s="10" t="s">
        <v>78</v>
      </c>
      <c r="W13" s="11">
        <v>445</v>
      </c>
      <c r="X13" s="10" t="s">
        <v>191</v>
      </c>
      <c r="Y13" s="11">
        <v>596</v>
      </c>
      <c r="Z13" s="10" t="s">
        <v>85</v>
      </c>
      <c r="AA13" s="11">
        <v>86.62</v>
      </c>
      <c r="AB13" s="10" t="s">
        <v>86</v>
      </c>
      <c r="AC13" s="10">
        <v>1586</v>
      </c>
      <c r="AD13" s="10" t="s">
        <v>87</v>
      </c>
      <c r="AE13" s="10">
        <v>1000.4</v>
      </c>
      <c r="AF13" s="10">
        <v>1024.8</v>
      </c>
      <c r="AG13" s="18" t="s">
        <v>206</v>
      </c>
      <c r="AH13" s="83">
        <v>1400</v>
      </c>
    </row>
    <row r="14" spans="1:34" x14ac:dyDescent="0.25">
      <c r="A14" s="10" t="s">
        <v>88</v>
      </c>
      <c r="B14" s="13">
        <v>372.02</v>
      </c>
      <c r="C14" s="10" t="s">
        <v>89</v>
      </c>
      <c r="D14" s="13">
        <v>253.76</v>
      </c>
      <c r="E14" s="37" t="s">
        <v>83</v>
      </c>
      <c r="F14" s="52">
        <v>650</v>
      </c>
      <c r="G14" s="37" t="s">
        <v>40</v>
      </c>
      <c r="H14" s="22">
        <v>185.75</v>
      </c>
      <c r="I14" s="10" t="s">
        <v>84</v>
      </c>
      <c r="J14" s="11">
        <v>134.19999999999999</v>
      </c>
      <c r="K14" s="60">
        <f t="shared" ref="K14:K17" si="2">L14*100/J14-100</f>
        <v>9.0909090909090935</v>
      </c>
      <c r="L14" s="79">
        <v>146.4</v>
      </c>
      <c r="M14" s="10" t="s">
        <v>90</v>
      </c>
      <c r="N14" s="11">
        <v>134.19999999999999</v>
      </c>
      <c r="O14" s="57">
        <f t="shared" si="1"/>
        <v>13.63636363636364</v>
      </c>
      <c r="P14" s="65">
        <v>152.5</v>
      </c>
      <c r="Q14" s="10" t="s">
        <v>91</v>
      </c>
      <c r="R14" s="11">
        <v>1493.28</v>
      </c>
      <c r="S14" s="11">
        <v>1342</v>
      </c>
      <c r="T14" s="10" t="s">
        <v>91</v>
      </c>
      <c r="U14" s="11">
        <v>1493.28</v>
      </c>
      <c r="V14" s="10" t="s">
        <v>77</v>
      </c>
      <c r="W14" s="11">
        <v>665</v>
      </c>
      <c r="X14" s="10" t="s">
        <v>192</v>
      </c>
      <c r="Y14" s="11">
        <v>1100</v>
      </c>
      <c r="Z14" s="10" t="s">
        <v>91</v>
      </c>
      <c r="AA14" s="11">
        <v>1493.28</v>
      </c>
      <c r="AB14" s="10" t="s">
        <v>92</v>
      </c>
      <c r="AC14" s="10">
        <v>128.1</v>
      </c>
      <c r="AD14" s="10" t="s">
        <v>93</v>
      </c>
      <c r="AE14" s="10">
        <v>146.4</v>
      </c>
      <c r="AF14" s="10">
        <v>195.2</v>
      </c>
      <c r="AG14" s="18" t="s">
        <v>92</v>
      </c>
      <c r="AH14" s="83">
        <v>120</v>
      </c>
    </row>
    <row r="15" spans="1:34" x14ac:dyDescent="0.25">
      <c r="A15" s="10" t="s">
        <v>94</v>
      </c>
      <c r="B15" s="13">
        <v>271.95999999999998</v>
      </c>
      <c r="C15" s="10" t="s">
        <v>95</v>
      </c>
      <c r="D15" s="13">
        <v>336.72</v>
      </c>
      <c r="E15" s="37" t="s">
        <v>70</v>
      </c>
      <c r="F15" s="52">
        <v>550</v>
      </c>
      <c r="G15" s="37" t="s">
        <v>96</v>
      </c>
      <c r="H15" s="22">
        <v>717.36</v>
      </c>
      <c r="I15" s="10" t="s">
        <v>70</v>
      </c>
      <c r="J15" s="11">
        <v>976</v>
      </c>
      <c r="K15" s="60">
        <f t="shared" si="2"/>
        <v>9.9999999999999858</v>
      </c>
      <c r="L15" s="79">
        <v>1073.5999999999999</v>
      </c>
      <c r="M15" s="10" t="s">
        <v>98</v>
      </c>
      <c r="N15" s="11">
        <v>134.19999999999999</v>
      </c>
      <c r="O15" s="57">
        <f t="shared" si="1"/>
        <v>13.63636363636364</v>
      </c>
      <c r="P15" s="65">
        <v>152.5</v>
      </c>
      <c r="Q15" s="10" t="s">
        <v>99</v>
      </c>
      <c r="R15" s="11">
        <v>101.26</v>
      </c>
      <c r="S15" s="11">
        <v>122</v>
      </c>
      <c r="T15" s="10" t="s">
        <v>99</v>
      </c>
      <c r="U15" s="11">
        <v>101.26</v>
      </c>
      <c r="V15" s="10" t="s">
        <v>100</v>
      </c>
      <c r="W15" s="11">
        <v>85</v>
      </c>
      <c r="X15" s="10" t="s">
        <v>89</v>
      </c>
      <c r="Y15" s="11">
        <v>140</v>
      </c>
      <c r="Z15" s="10" t="s">
        <v>99</v>
      </c>
      <c r="AA15" s="11">
        <v>101.26</v>
      </c>
      <c r="AB15" s="10" t="s">
        <v>101</v>
      </c>
      <c r="AC15" s="10">
        <v>213.5</v>
      </c>
      <c r="AD15" s="10" t="s">
        <v>102</v>
      </c>
      <c r="AE15" s="10">
        <v>195.2</v>
      </c>
      <c r="AF15" s="10">
        <v>219.6</v>
      </c>
      <c r="AG15" s="82" t="s">
        <v>199</v>
      </c>
      <c r="AH15" s="84">
        <v>120</v>
      </c>
    </row>
    <row r="16" spans="1:34" x14ac:dyDescent="0.25">
      <c r="A16" s="10" t="s">
        <v>103</v>
      </c>
      <c r="B16" s="13">
        <v>360.74</v>
      </c>
      <c r="C16" s="10" t="s">
        <v>104</v>
      </c>
      <c r="D16" s="13">
        <v>253.76</v>
      </c>
      <c r="E16" s="37" t="s">
        <v>105</v>
      </c>
      <c r="F16" s="52">
        <v>150</v>
      </c>
      <c r="G16" s="37" t="s">
        <v>43</v>
      </c>
      <c r="H16" s="22">
        <v>128.1</v>
      </c>
      <c r="I16" s="10" t="s">
        <v>97</v>
      </c>
      <c r="J16" s="11">
        <v>634.4</v>
      </c>
      <c r="K16" s="60">
        <f t="shared" si="2"/>
        <v>9.6153846153846132</v>
      </c>
      <c r="L16" s="79">
        <v>695.4</v>
      </c>
      <c r="M16" s="10"/>
      <c r="N16" s="10"/>
      <c r="O16" s="10"/>
      <c r="P16" s="10"/>
      <c r="Q16" s="10" t="s">
        <v>107</v>
      </c>
      <c r="R16" s="11">
        <v>86.62</v>
      </c>
      <c r="S16" s="11">
        <v>97.6</v>
      </c>
      <c r="T16" s="10" t="s">
        <v>107</v>
      </c>
      <c r="U16" s="11">
        <v>86.62</v>
      </c>
      <c r="V16" s="10" t="s">
        <v>108</v>
      </c>
      <c r="W16" s="11">
        <v>125</v>
      </c>
      <c r="X16" s="10" t="s">
        <v>95</v>
      </c>
      <c r="Y16" s="11">
        <v>190</v>
      </c>
      <c r="Z16" s="10" t="s">
        <v>107</v>
      </c>
      <c r="AA16" s="11">
        <v>86.62</v>
      </c>
      <c r="AB16" s="10" t="s">
        <v>109</v>
      </c>
      <c r="AC16" s="10">
        <v>1037</v>
      </c>
      <c r="AD16" s="10" t="s">
        <v>110</v>
      </c>
      <c r="AE16" s="10">
        <v>268.39999999999998</v>
      </c>
      <c r="AF16" s="10">
        <v>292.8</v>
      </c>
    </row>
    <row r="17" spans="1:32" ht="15.75" thickBot="1" x14ac:dyDescent="0.3">
      <c r="A17" s="10"/>
      <c r="B17" s="65"/>
      <c r="C17" s="10" t="s">
        <v>111</v>
      </c>
      <c r="D17" s="13">
        <v>124.44</v>
      </c>
      <c r="E17" s="70"/>
      <c r="F17" s="46"/>
      <c r="G17" s="37"/>
      <c r="H17" s="10"/>
      <c r="I17" s="10" t="s">
        <v>106</v>
      </c>
      <c r="J17" s="11">
        <v>1024.8</v>
      </c>
      <c r="K17" s="60">
        <f t="shared" si="2"/>
        <v>9.5238095238095468</v>
      </c>
      <c r="L17" s="79">
        <v>1122.4000000000001</v>
      </c>
      <c r="M17" s="10"/>
      <c r="N17" s="10"/>
      <c r="O17" s="10"/>
      <c r="P17" s="10"/>
      <c r="Q17" s="10" t="s">
        <v>113</v>
      </c>
      <c r="R17" s="11">
        <v>212.28</v>
      </c>
      <c r="S17" s="11">
        <v>233.5</v>
      </c>
      <c r="T17" s="10" t="s">
        <v>114</v>
      </c>
      <c r="U17" s="11">
        <v>212.28</v>
      </c>
      <c r="V17" s="10" t="s">
        <v>115</v>
      </c>
      <c r="W17" s="11">
        <v>100</v>
      </c>
      <c r="X17" s="10" t="s">
        <v>104</v>
      </c>
      <c r="Y17" s="11">
        <v>105</v>
      </c>
      <c r="Z17" s="10" t="s">
        <v>114</v>
      </c>
      <c r="AA17" s="11">
        <v>212.28</v>
      </c>
      <c r="AB17" s="10" t="s">
        <v>104</v>
      </c>
      <c r="AC17" s="10">
        <v>152.5</v>
      </c>
      <c r="AD17" s="10" t="s">
        <v>116</v>
      </c>
      <c r="AE17" s="10">
        <v>183</v>
      </c>
      <c r="AF17" s="10">
        <v>207.4</v>
      </c>
    </row>
    <row r="18" spans="1:32" x14ac:dyDescent="0.25">
      <c r="A18" s="10"/>
      <c r="B18" s="10"/>
      <c r="C18" s="10" t="s">
        <v>70</v>
      </c>
      <c r="D18" s="13">
        <v>1356.64</v>
      </c>
      <c r="G18" s="10"/>
      <c r="H18" s="10"/>
      <c r="I18" s="10" t="s">
        <v>112</v>
      </c>
      <c r="J18" s="11">
        <v>1207.8</v>
      </c>
      <c r="K18" s="60">
        <f>L18*100/J18-100</f>
        <v>10.101010101010104</v>
      </c>
      <c r="L18" s="79">
        <v>1329.8</v>
      </c>
      <c r="M18" s="73"/>
      <c r="N18" s="10"/>
      <c r="O18" s="10"/>
      <c r="P18" s="37"/>
      <c r="Q18" s="10" t="s">
        <v>118</v>
      </c>
      <c r="R18" s="11">
        <v>668.56</v>
      </c>
      <c r="S18" s="11">
        <v>1098</v>
      </c>
      <c r="T18" s="10" t="s">
        <v>119</v>
      </c>
      <c r="U18" s="11">
        <v>668.56</v>
      </c>
      <c r="V18" s="10" t="s">
        <v>70</v>
      </c>
      <c r="W18" s="11">
        <v>600</v>
      </c>
      <c r="X18" s="10" t="s">
        <v>43</v>
      </c>
      <c r="Y18" s="11">
        <v>105</v>
      </c>
      <c r="Z18" s="10" t="s">
        <v>119</v>
      </c>
      <c r="AA18" s="11">
        <v>668.56</v>
      </c>
      <c r="AB18" s="10" t="s">
        <v>120</v>
      </c>
      <c r="AC18" s="10">
        <v>152.5</v>
      </c>
      <c r="AD18" s="10" t="s">
        <v>121</v>
      </c>
      <c r="AE18" s="10">
        <v>244</v>
      </c>
      <c r="AF18" s="10">
        <v>268.39999999999998</v>
      </c>
    </row>
    <row r="19" spans="1:32" x14ac:dyDescent="0.25">
      <c r="A19" s="10" t="s">
        <v>122</v>
      </c>
      <c r="B19" s="10"/>
      <c r="C19" s="10" t="s">
        <v>43</v>
      </c>
      <c r="D19" s="13">
        <v>180.56</v>
      </c>
      <c r="G19" s="10"/>
      <c r="H19" s="9"/>
      <c r="I19" s="10" t="s">
        <v>117</v>
      </c>
      <c r="J19" s="11">
        <v>3416</v>
      </c>
      <c r="K19" s="60">
        <f>L19*100/J19-100</f>
        <v>10</v>
      </c>
      <c r="L19" s="79">
        <v>3757.6</v>
      </c>
      <c r="M19" s="10"/>
      <c r="N19" s="10"/>
      <c r="O19" s="10"/>
      <c r="P19" s="10"/>
      <c r="Q19" s="10" t="s">
        <v>123</v>
      </c>
      <c r="R19" s="11">
        <v>334.28</v>
      </c>
      <c r="S19" s="11">
        <v>549</v>
      </c>
      <c r="T19" s="10" t="s">
        <v>124</v>
      </c>
      <c r="U19" s="11">
        <v>334.28</v>
      </c>
      <c r="V19" s="10"/>
      <c r="W19" s="10"/>
      <c r="X19" s="10" t="s">
        <v>70</v>
      </c>
      <c r="Y19" s="11">
        <v>1100</v>
      </c>
      <c r="Z19" s="10" t="s">
        <v>124</v>
      </c>
      <c r="AA19" s="11">
        <v>334.28</v>
      </c>
      <c r="AD19" s="10" t="s">
        <v>125</v>
      </c>
      <c r="AE19" s="10">
        <v>976</v>
      </c>
      <c r="AF19" s="10">
        <v>1000.4</v>
      </c>
    </row>
    <row r="20" spans="1:32" x14ac:dyDescent="0.25">
      <c r="A20" s="10"/>
      <c r="B20" s="10"/>
      <c r="C20" s="22" t="s">
        <v>126</v>
      </c>
      <c r="D20" s="13">
        <v>2341.1799999999998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 t="s">
        <v>127</v>
      </c>
      <c r="R20" s="11">
        <v>217.16</v>
      </c>
      <c r="S20" s="11">
        <v>244</v>
      </c>
      <c r="T20" s="10" t="s">
        <v>127</v>
      </c>
      <c r="U20" s="11">
        <v>217.16</v>
      </c>
      <c r="V20" s="10"/>
      <c r="W20" s="10"/>
      <c r="X20" s="10"/>
      <c r="Y20" s="10"/>
      <c r="Z20" s="10" t="s">
        <v>127</v>
      </c>
      <c r="AA20" s="11">
        <v>217.16</v>
      </c>
      <c r="AD20" s="10" t="s">
        <v>128</v>
      </c>
      <c r="AE20" s="10">
        <v>183</v>
      </c>
      <c r="AF20" s="10">
        <v>207.4</v>
      </c>
    </row>
    <row r="21" spans="1:32" x14ac:dyDescent="0.25">
      <c r="B21" s="10"/>
      <c r="C21" s="10" t="s">
        <v>178</v>
      </c>
      <c r="D21" s="13">
        <v>2393.64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 t="s">
        <v>130</v>
      </c>
      <c r="R21" s="11">
        <v>1050.42</v>
      </c>
      <c r="S21" s="11">
        <v>1050.42</v>
      </c>
      <c r="T21" s="10" t="s">
        <v>130</v>
      </c>
      <c r="U21" s="11">
        <v>1050.42</v>
      </c>
      <c r="V21" s="10"/>
      <c r="W21" s="10"/>
      <c r="X21" s="10"/>
      <c r="Y21" s="10"/>
      <c r="Z21" s="10" t="s">
        <v>130</v>
      </c>
      <c r="AA21" s="11">
        <v>1050.42</v>
      </c>
      <c r="AB21" s="96"/>
      <c r="AC21" s="96"/>
      <c r="AD21" s="96"/>
      <c r="AE21" s="96"/>
    </row>
    <row r="22" spans="1:32" ht="18" x14ac:dyDescent="0.35">
      <c r="A22" s="10"/>
      <c r="B22" s="10"/>
      <c r="C22" s="10" t="s">
        <v>131</v>
      </c>
      <c r="D22" s="13">
        <v>64.66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 t="s">
        <v>132</v>
      </c>
      <c r="R22" s="11">
        <v>485.56</v>
      </c>
      <c r="S22" s="11">
        <v>485.56</v>
      </c>
      <c r="T22" s="10" t="s">
        <v>132</v>
      </c>
      <c r="U22" s="11">
        <v>485.56</v>
      </c>
      <c r="V22" s="10"/>
      <c r="W22" s="10"/>
      <c r="X22" s="10"/>
      <c r="Y22" s="10"/>
      <c r="Z22" s="10" t="s">
        <v>132</v>
      </c>
      <c r="AA22" s="11">
        <v>485.56</v>
      </c>
      <c r="AD22" s="25"/>
    </row>
    <row r="23" spans="1:32" ht="15.75" x14ac:dyDescent="0.3">
      <c r="A23" s="10"/>
      <c r="B23" s="10"/>
      <c r="C23" s="10" t="s">
        <v>133</v>
      </c>
      <c r="D23" s="13">
        <v>124.44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 t="s">
        <v>134</v>
      </c>
      <c r="R23" s="11">
        <v>114.68</v>
      </c>
      <c r="S23" s="11">
        <v>152.5</v>
      </c>
      <c r="T23" s="10" t="s">
        <v>134</v>
      </c>
      <c r="U23" s="11">
        <v>114.68</v>
      </c>
      <c r="V23" s="10"/>
      <c r="W23" s="10"/>
      <c r="X23" s="10"/>
      <c r="Y23" s="10"/>
      <c r="Z23" s="10" t="s">
        <v>134</v>
      </c>
      <c r="AA23" s="11">
        <v>114.68</v>
      </c>
      <c r="AD23" s="26"/>
    </row>
    <row r="24" spans="1:32" ht="15.75" x14ac:dyDescent="0.3">
      <c r="A24" s="10"/>
      <c r="B24" s="10"/>
      <c r="C24" s="10" t="s">
        <v>135</v>
      </c>
      <c r="D24" s="13">
        <v>64.66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 t="s">
        <v>111</v>
      </c>
      <c r="R24" s="11">
        <v>76.86</v>
      </c>
      <c r="S24" s="11">
        <v>76.86</v>
      </c>
      <c r="T24" s="10" t="s">
        <v>111</v>
      </c>
      <c r="U24" s="11">
        <v>76.86</v>
      </c>
      <c r="V24" s="10"/>
      <c r="W24" s="10"/>
      <c r="X24" s="10"/>
      <c r="Y24" s="10"/>
      <c r="Z24" s="10" t="s">
        <v>111</v>
      </c>
      <c r="AA24" s="11">
        <v>76.86</v>
      </c>
      <c r="AD24" s="27"/>
    </row>
    <row r="25" spans="1:32" x14ac:dyDescent="0.25">
      <c r="A25" s="9"/>
      <c r="B25" s="9"/>
      <c r="C25" s="10" t="s">
        <v>136</v>
      </c>
      <c r="D25" s="13">
        <v>92.72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 t="s">
        <v>70</v>
      </c>
      <c r="R25" s="11">
        <v>829.6</v>
      </c>
      <c r="S25" s="11">
        <v>915</v>
      </c>
      <c r="T25" s="10" t="s">
        <v>70</v>
      </c>
      <c r="U25" s="11">
        <v>829.6</v>
      </c>
      <c r="V25" s="10"/>
      <c r="W25" s="10"/>
      <c r="X25" s="10"/>
      <c r="Y25" s="10"/>
      <c r="Z25" s="10" t="s">
        <v>70</v>
      </c>
      <c r="AA25" s="11">
        <v>829.6</v>
      </c>
    </row>
    <row r="26" spans="1:32" x14ac:dyDescent="0.25">
      <c r="C26" s="10" t="s">
        <v>137</v>
      </c>
      <c r="D26" s="13">
        <v>240.34</v>
      </c>
      <c r="Q26" s="10" t="s">
        <v>138</v>
      </c>
      <c r="R26" s="11">
        <v>37</v>
      </c>
      <c r="S26" s="11">
        <v>36.6</v>
      </c>
    </row>
    <row r="27" spans="1:32" x14ac:dyDescent="0.25">
      <c r="C27" s="10" t="s">
        <v>177</v>
      </c>
      <c r="D27" s="13">
        <v>3989.4</v>
      </c>
      <c r="Q27" s="10" t="s">
        <v>139</v>
      </c>
      <c r="R27" s="11">
        <v>39</v>
      </c>
      <c r="S27" s="11">
        <v>56.12</v>
      </c>
    </row>
    <row r="28" spans="1:32" x14ac:dyDescent="0.25">
      <c r="Q28" s="10" t="s">
        <v>140</v>
      </c>
      <c r="R28" s="11">
        <v>28</v>
      </c>
      <c r="S28" s="11">
        <v>36.6</v>
      </c>
    </row>
    <row r="29" spans="1:32" ht="15.75" thickBot="1" x14ac:dyDescent="0.3">
      <c r="Q29" s="10" t="s">
        <v>141</v>
      </c>
      <c r="R29" s="11">
        <v>37</v>
      </c>
      <c r="S29" s="11">
        <v>36.6</v>
      </c>
    </row>
    <row r="30" spans="1:32" ht="15.75" thickBot="1" x14ac:dyDescent="0.3">
      <c r="B30" s="64"/>
      <c r="J30" s="67" t="s">
        <v>200</v>
      </c>
      <c r="K30" s="80">
        <f>AVERAGE(K8:K19)</f>
        <v>9.8873848602950769</v>
      </c>
      <c r="Q30" s="10" t="s">
        <v>142</v>
      </c>
      <c r="R30" s="11">
        <v>31</v>
      </c>
      <c r="S30" s="11"/>
    </row>
    <row r="32" spans="1:32" x14ac:dyDescent="0.25">
      <c r="F32" s="49"/>
    </row>
  </sheetData>
  <mergeCells count="15">
    <mergeCell ref="AE3:AF3"/>
    <mergeCell ref="AG5:AH5"/>
    <mergeCell ref="AB21:AE21"/>
    <mergeCell ref="N3:P3"/>
    <mergeCell ref="AB5:AC5"/>
    <mergeCell ref="Z6:AA6"/>
    <mergeCell ref="AB6:AC6"/>
    <mergeCell ref="AD5:AF5"/>
    <mergeCell ref="AD6:AF6"/>
    <mergeCell ref="AG6:AH6"/>
    <mergeCell ref="C6:D6"/>
    <mergeCell ref="E6:F6"/>
    <mergeCell ref="G6:H6"/>
    <mergeCell ref="I6:L6"/>
    <mergeCell ref="Q6:R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5C45-D7D8-4B8F-8DB9-111508DCD79A}">
  <dimension ref="A1:AF32"/>
  <sheetViews>
    <sheetView topLeftCell="D1" workbookViewId="0">
      <selection activeCell="H8" sqref="H8"/>
    </sheetView>
  </sheetViews>
  <sheetFormatPr baseColWidth="10" defaultColWidth="9.140625" defaultRowHeight="15" x14ac:dyDescent="0.25"/>
  <cols>
    <col min="1" max="1" width="37.42578125" customWidth="1"/>
    <col min="2" max="4" width="34.5703125" customWidth="1"/>
    <col min="5" max="5" width="22.7109375" customWidth="1"/>
    <col min="6" max="6" width="18.85546875" customWidth="1"/>
    <col min="7" max="9" width="20.7109375" customWidth="1"/>
    <col min="10" max="10" width="21.28515625" customWidth="1"/>
    <col min="11" max="11" width="25.85546875" customWidth="1"/>
    <col min="12" max="12" width="17.5703125" customWidth="1"/>
    <col min="13" max="13" width="43.85546875" customWidth="1"/>
    <col min="14" max="14" width="27" customWidth="1"/>
    <col min="15" max="15" width="23.7109375" customWidth="1"/>
    <col min="16" max="16" width="26.7109375" customWidth="1"/>
    <col min="17" max="17" width="33" customWidth="1"/>
    <col min="18" max="18" width="13.28515625" customWidth="1"/>
    <col min="19" max="19" width="12.5703125" customWidth="1"/>
    <col min="20" max="20" width="24.140625" customWidth="1"/>
    <col min="21" max="21" width="15.85546875" customWidth="1"/>
    <col min="22" max="22" width="24.140625" customWidth="1"/>
    <col min="23" max="23" width="11.140625" customWidth="1"/>
    <col min="24" max="24" width="27" customWidth="1"/>
    <col min="25" max="25" width="39.5703125" customWidth="1"/>
    <col min="26" max="26" width="23.28515625" customWidth="1"/>
    <col min="27" max="27" width="19.140625" customWidth="1"/>
    <col min="28" max="28" width="19.28515625" customWidth="1"/>
    <col min="29" max="29" width="14.85546875" customWidth="1"/>
    <col min="30" max="30" width="25.7109375" customWidth="1"/>
    <col min="31" max="31" width="16.42578125" customWidth="1"/>
    <col min="32" max="32" width="14.85546875" customWidth="1"/>
  </cols>
  <sheetData>
    <row r="1" spans="1:32" x14ac:dyDescent="0.25">
      <c r="A1" s="3" t="s">
        <v>0</v>
      </c>
      <c r="B1" s="3"/>
    </row>
    <row r="2" spans="1:32" ht="15.75" thickBot="1" x14ac:dyDescent="0.3"/>
    <row r="3" spans="1:32" ht="15.75" thickBot="1" x14ac:dyDescent="0.3">
      <c r="A3" s="2" t="s">
        <v>1</v>
      </c>
      <c r="B3" s="29"/>
      <c r="C3" s="2" t="s">
        <v>1</v>
      </c>
      <c r="D3" s="32">
        <v>0.4</v>
      </c>
      <c r="E3" s="2" t="s">
        <v>1</v>
      </c>
      <c r="F3" s="51">
        <v>0.25</v>
      </c>
      <c r="G3" s="29" t="s">
        <v>1</v>
      </c>
      <c r="H3" s="29"/>
      <c r="I3" s="29"/>
      <c r="J3" s="4" t="s">
        <v>2</v>
      </c>
      <c r="K3" s="2" t="s">
        <v>1</v>
      </c>
      <c r="L3" s="4">
        <v>1</v>
      </c>
      <c r="M3" s="2" t="s">
        <v>1</v>
      </c>
      <c r="N3" s="97" t="s">
        <v>2</v>
      </c>
      <c r="O3" s="97"/>
      <c r="P3" s="98"/>
      <c r="Q3" s="2" t="s">
        <v>1</v>
      </c>
      <c r="R3" s="29"/>
      <c r="S3" s="4">
        <v>0.25</v>
      </c>
      <c r="T3" s="2" t="s">
        <v>1</v>
      </c>
      <c r="U3" s="8" t="s">
        <v>2</v>
      </c>
      <c r="V3" s="2" t="s">
        <v>1</v>
      </c>
      <c r="W3" s="4">
        <v>1</v>
      </c>
      <c r="X3" s="2" t="s">
        <v>1</v>
      </c>
      <c r="Y3" s="8">
        <v>0.15</v>
      </c>
      <c r="Z3" s="2" t="s">
        <v>1</v>
      </c>
      <c r="AA3" s="8" t="s">
        <v>2</v>
      </c>
      <c r="AB3" s="2" t="s">
        <v>1</v>
      </c>
      <c r="AC3" s="8" t="s">
        <v>2</v>
      </c>
      <c r="AD3" s="2" t="s">
        <v>1</v>
      </c>
      <c r="AE3" s="28" t="s">
        <v>2</v>
      </c>
    </row>
    <row r="4" spans="1:32" ht="15.75" thickBot="1" x14ac:dyDescent="0.3">
      <c r="A4" s="1" t="s">
        <v>3</v>
      </c>
      <c r="E4" s="38"/>
    </row>
    <row r="5" spans="1:32" ht="15.75" thickBot="1" x14ac:dyDescent="0.3">
      <c r="A5" s="2" t="s">
        <v>4</v>
      </c>
      <c r="B5" s="29" t="s">
        <v>184</v>
      </c>
      <c r="C5" s="2" t="s">
        <v>4</v>
      </c>
      <c r="D5" s="29" t="s">
        <v>6</v>
      </c>
      <c r="E5" s="2" t="s">
        <v>4</v>
      </c>
      <c r="F5" s="7" t="s">
        <v>7</v>
      </c>
      <c r="G5" s="29" t="s">
        <v>4</v>
      </c>
      <c r="H5" s="29"/>
      <c r="I5" s="29"/>
      <c r="J5" s="7" t="s">
        <v>194</v>
      </c>
      <c r="K5" s="2" t="s">
        <v>4</v>
      </c>
      <c r="L5" s="7" t="s">
        <v>8</v>
      </c>
      <c r="M5" s="2" t="s">
        <v>9</v>
      </c>
      <c r="N5" s="7" t="s">
        <v>8</v>
      </c>
      <c r="O5" s="7"/>
      <c r="P5" s="72" t="s">
        <v>179</v>
      </c>
      <c r="Q5" s="2" t="s">
        <v>4</v>
      </c>
      <c r="R5" s="29"/>
      <c r="S5" s="7" t="s">
        <v>10</v>
      </c>
      <c r="T5" s="2" t="s">
        <v>11</v>
      </c>
      <c r="U5" s="7" t="s">
        <v>8</v>
      </c>
      <c r="V5" s="2" t="s">
        <v>4</v>
      </c>
      <c r="W5" s="7" t="s">
        <v>8</v>
      </c>
      <c r="X5" s="2" t="s">
        <v>4</v>
      </c>
      <c r="Y5" s="7" t="s">
        <v>193</v>
      </c>
      <c r="Z5" s="2" t="s">
        <v>13</v>
      </c>
      <c r="AA5" s="7" t="s">
        <v>8</v>
      </c>
      <c r="AB5" s="101" t="s">
        <v>14</v>
      </c>
      <c r="AC5" s="102"/>
      <c r="AD5" s="23" t="s">
        <v>4</v>
      </c>
      <c r="AE5" s="24"/>
    </row>
    <row r="6" spans="1:32" x14ac:dyDescent="0.25">
      <c r="A6" s="77" t="s">
        <v>15</v>
      </c>
      <c r="B6" s="75"/>
      <c r="C6" s="105" t="s">
        <v>16</v>
      </c>
      <c r="D6" s="105"/>
      <c r="E6" s="106" t="s">
        <v>17</v>
      </c>
      <c r="F6" s="105"/>
      <c r="G6" s="95" t="s">
        <v>18</v>
      </c>
      <c r="H6" s="95"/>
      <c r="I6" s="95"/>
      <c r="J6" s="95"/>
      <c r="K6" s="105" t="s">
        <v>19</v>
      </c>
      <c r="L6" s="105"/>
      <c r="M6" s="17" t="s">
        <v>20</v>
      </c>
      <c r="N6" s="17"/>
      <c r="O6" s="17"/>
      <c r="P6" s="17"/>
      <c r="Q6" s="95" t="s">
        <v>21</v>
      </c>
      <c r="R6" s="95"/>
      <c r="S6" s="17"/>
      <c r="T6" s="17" t="s">
        <v>22</v>
      </c>
      <c r="U6" s="17"/>
      <c r="V6" s="17" t="s">
        <v>23</v>
      </c>
      <c r="W6" s="17"/>
      <c r="X6" s="78" t="s">
        <v>185</v>
      </c>
      <c r="Y6" s="78"/>
      <c r="Z6" s="95" t="s">
        <v>25</v>
      </c>
      <c r="AA6" s="95"/>
      <c r="AB6" s="95" t="s">
        <v>26</v>
      </c>
      <c r="AC6" s="95"/>
      <c r="AD6" s="95" t="s">
        <v>27</v>
      </c>
      <c r="AE6" s="95"/>
    </row>
    <row r="7" spans="1:32" x14ac:dyDescent="0.25">
      <c r="A7" s="9" t="s">
        <v>28</v>
      </c>
      <c r="B7" s="9" t="s">
        <v>180</v>
      </c>
      <c r="C7" s="9" t="s">
        <v>28</v>
      </c>
      <c r="D7" s="33" t="s">
        <v>30</v>
      </c>
      <c r="E7" s="40" t="s">
        <v>28</v>
      </c>
      <c r="F7" s="53" t="s">
        <v>30</v>
      </c>
      <c r="G7" s="36" t="s">
        <v>28</v>
      </c>
      <c r="H7" s="12" t="s">
        <v>30</v>
      </c>
      <c r="I7" s="30" t="s">
        <v>146</v>
      </c>
      <c r="J7" s="9" t="s">
        <v>180</v>
      </c>
      <c r="K7" s="9" t="s">
        <v>28</v>
      </c>
      <c r="L7" s="9" t="s">
        <v>30</v>
      </c>
      <c r="M7" s="9" t="s">
        <v>28</v>
      </c>
      <c r="N7" s="9" t="s">
        <v>31</v>
      </c>
      <c r="O7" s="30" t="s">
        <v>181</v>
      </c>
      <c r="P7" s="9" t="s">
        <v>180</v>
      </c>
      <c r="Q7" s="9" t="s">
        <v>28</v>
      </c>
      <c r="R7" s="9" t="s">
        <v>31</v>
      </c>
      <c r="S7" s="63" t="s">
        <v>29</v>
      </c>
      <c r="T7" s="9" t="s">
        <v>28</v>
      </c>
      <c r="U7" s="9" t="s">
        <v>31</v>
      </c>
      <c r="V7" s="9" t="s">
        <v>28</v>
      </c>
      <c r="W7" s="9" t="s">
        <v>31</v>
      </c>
      <c r="X7" s="9" t="s">
        <v>28</v>
      </c>
      <c r="Y7" s="9" t="s">
        <v>186</v>
      </c>
      <c r="Z7" s="9" t="s">
        <v>28</v>
      </c>
      <c r="AA7" s="9" t="s">
        <v>31</v>
      </c>
      <c r="AB7" s="9" t="s">
        <v>32</v>
      </c>
      <c r="AC7" s="9" t="s">
        <v>33</v>
      </c>
      <c r="AD7" s="9" t="s">
        <v>32</v>
      </c>
      <c r="AE7" s="9" t="s">
        <v>34</v>
      </c>
      <c r="AF7" s="9" t="s">
        <v>35</v>
      </c>
    </row>
    <row r="8" spans="1:32" x14ac:dyDescent="0.25">
      <c r="A8" s="10" t="s">
        <v>36</v>
      </c>
      <c r="B8" s="13">
        <v>290.27</v>
      </c>
      <c r="C8" s="10" t="s">
        <v>37</v>
      </c>
      <c r="D8" s="65">
        <v>145.18</v>
      </c>
      <c r="E8" s="41" t="s">
        <v>38</v>
      </c>
      <c r="F8" s="52">
        <v>100</v>
      </c>
      <c r="G8" s="37" t="s">
        <v>39</v>
      </c>
      <c r="H8" s="13">
        <v>103.7</v>
      </c>
      <c r="I8" s="37">
        <v>5</v>
      </c>
      <c r="J8" s="79">
        <v>108.89</v>
      </c>
      <c r="K8" s="10" t="s">
        <v>40</v>
      </c>
      <c r="L8" s="11">
        <v>128.1</v>
      </c>
      <c r="M8" s="10" t="s">
        <v>41</v>
      </c>
      <c r="N8" s="11">
        <v>103.7</v>
      </c>
      <c r="O8" s="57">
        <f t="shared" ref="O8:O15" si="0">P8*100/N8-100</f>
        <v>17.647058823529406</v>
      </c>
      <c r="P8" s="71">
        <v>122</v>
      </c>
      <c r="Q8" s="10" t="s">
        <v>42</v>
      </c>
      <c r="R8" s="11">
        <v>86.62</v>
      </c>
      <c r="S8" s="11">
        <v>97.6</v>
      </c>
      <c r="T8" s="10" t="s">
        <v>42</v>
      </c>
      <c r="U8" s="11">
        <v>86.62</v>
      </c>
      <c r="V8" s="10" t="s">
        <v>43</v>
      </c>
      <c r="W8" s="11">
        <v>90</v>
      </c>
      <c r="X8" s="10" t="s">
        <v>187</v>
      </c>
      <c r="Y8" s="11">
        <v>105</v>
      </c>
      <c r="Z8" s="10" t="s">
        <v>42</v>
      </c>
      <c r="AA8" s="11">
        <v>86.62</v>
      </c>
      <c r="AB8" s="10" t="s">
        <v>39</v>
      </c>
      <c r="AC8" s="10">
        <v>122</v>
      </c>
      <c r="AD8" s="10" t="s">
        <v>44</v>
      </c>
      <c r="AE8" s="10">
        <v>87.84</v>
      </c>
      <c r="AF8" s="10">
        <v>112.24</v>
      </c>
    </row>
    <row r="9" spans="1:32" x14ac:dyDescent="0.25">
      <c r="A9" s="10" t="s">
        <v>45</v>
      </c>
      <c r="B9" s="13">
        <v>405.83</v>
      </c>
      <c r="C9" s="10" t="s">
        <v>46</v>
      </c>
      <c r="D9" s="65">
        <v>196.42</v>
      </c>
      <c r="E9" s="41" t="s">
        <v>47</v>
      </c>
      <c r="F9" s="52">
        <v>60</v>
      </c>
      <c r="G9" s="37" t="s">
        <v>48</v>
      </c>
      <c r="H9" s="13">
        <v>140.30000000000001</v>
      </c>
      <c r="I9" s="37">
        <v>5</v>
      </c>
      <c r="J9" s="79">
        <v>147.32</v>
      </c>
      <c r="K9" s="10" t="s">
        <v>49</v>
      </c>
      <c r="L9" s="11">
        <v>103.7</v>
      </c>
      <c r="M9" s="10" t="s">
        <v>50</v>
      </c>
      <c r="N9" s="11">
        <v>146.4</v>
      </c>
      <c r="O9" s="57">
        <f t="shared" si="0"/>
        <v>16.666666666666657</v>
      </c>
      <c r="P9" s="71">
        <v>170.8</v>
      </c>
      <c r="Q9" s="10" t="s">
        <v>51</v>
      </c>
      <c r="R9" s="11">
        <v>129.32</v>
      </c>
      <c r="S9" s="11">
        <v>146.4</v>
      </c>
      <c r="T9" s="10" t="s">
        <v>51</v>
      </c>
      <c r="U9" s="11">
        <v>129.32</v>
      </c>
      <c r="V9" s="10" t="s">
        <v>52</v>
      </c>
      <c r="W9" s="11">
        <v>90</v>
      </c>
      <c r="X9" s="10" t="s">
        <v>188</v>
      </c>
      <c r="Y9" s="11">
        <v>160</v>
      </c>
      <c r="Z9" s="10" t="s">
        <v>51</v>
      </c>
      <c r="AA9" s="11">
        <v>129.32</v>
      </c>
      <c r="AB9" s="10" t="s">
        <v>48</v>
      </c>
      <c r="AC9" s="10">
        <v>146.4</v>
      </c>
      <c r="AD9" s="10" t="s">
        <v>53</v>
      </c>
      <c r="AE9" s="10">
        <v>106.14</v>
      </c>
      <c r="AF9" s="10">
        <v>130.54</v>
      </c>
    </row>
    <row r="10" spans="1:32" x14ac:dyDescent="0.25">
      <c r="A10" s="10" t="s">
        <v>54</v>
      </c>
      <c r="B10" s="13">
        <v>435.42</v>
      </c>
      <c r="C10" s="10" t="s">
        <v>54</v>
      </c>
      <c r="D10" s="65">
        <v>506.3</v>
      </c>
      <c r="E10" s="41" t="s">
        <v>55</v>
      </c>
      <c r="F10" s="52">
        <v>90</v>
      </c>
      <c r="G10" s="37" t="s">
        <v>56</v>
      </c>
      <c r="H10" s="13">
        <v>280.60000000000002</v>
      </c>
      <c r="I10" s="37">
        <v>5</v>
      </c>
      <c r="J10" s="79">
        <v>294.63</v>
      </c>
      <c r="K10" s="10" t="s">
        <v>57</v>
      </c>
      <c r="L10" s="11">
        <v>103.7</v>
      </c>
      <c r="M10" s="10" t="s">
        <v>58</v>
      </c>
      <c r="N10" s="11">
        <v>305</v>
      </c>
      <c r="O10" s="34">
        <f t="shared" si="0"/>
        <v>16</v>
      </c>
      <c r="P10" s="71">
        <v>353.8</v>
      </c>
      <c r="Q10" s="10" t="s">
        <v>59</v>
      </c>
      <c r="R10" s="11">
        <v>167.14</v>
      </c>
      <c r="S10" s="11">
        <v>219.6</v>
      </c>
      <c r="T10" s="10" t="s">
        <v>59</v>
      </c>
      <c r="U10" s="11">
        <v>167.14</v>
      </c>
      <c r="V10" s="10" t="s">
        <v>60</v>
      </c>
      <c r="W10" s="11">
        <v>100</v>
      </c>
      <c r="X10" s="10" t="s">
        <v>189</v>
      </c>
      <c r="Y10" s="11">
        <v>195</v>
      </c>
      <c r="Z10" s="10" t="s">
        <v>59</v>
      </c>
      <c r="AA10" s="11">
        <v>167.14</v>
      </c>
      <c r="AB10" s="10" t="s">
        <v>56</v>
      </c>
      <c r="AC10" s="10">
        <v>427</v>
      </c>
      <c r="AD10" s="10" t="s">
        <v>61</v>
      </c>
      <c r="AE10" s="10">
        <v>231.79999999999998</v>
      </c>
      <c r="AF10" s="10">
        <v>256.2</v>
      </c>
    </row>
    <row r="11" spans="1:32" x14ac:dyDescent="0.25">
      <c r="A11" s="10" t="s">
        <v>62</v>
      </c>
      <c r="B11" s="13">
        <v>1452.81</v>
      </c>
      <c r="C11" s="10" t="s">
        <v>63</v>
      </c>
      <c r="D11" s="65">
        <v>1111.42</v>
      </c>
      <c r="E11" s="41" t="s">
        <v>57</v>
      </c>
      <c r="F11" s="52">
        <v>120</v>
      </c>
      <c r="G11" s="37" t="s">
        <v>64</v>
      </c>
      <c r="H11" s="13">
        <v>225.7</v>
      </c>
      <c r="I11" s="37">
        <v>5</v>
      </c>
      <c r="J11" s="79">
        <v>236.99</v>
      </c>
      <c r="K11" s="10" t="s">
        <v>65</v>
      </c>
      <c r="L11" s="11">
        <v>115.9</v>
      </c>
      <c r="M11" s="10" t="s">
        <v>66</v>
      </c>
      <c r="N11" s="11">
        <v>829.6</v>
      </c>
      <c r="O11" s="57">
        <f t="shared" si="0"/>
        <v>15.441176470588232</v>
      </c>
      <c r="P11" s="71">
        <v>957.7</v>
      </c>
      <c r="Q11" s="10" t="s">
        <v>67</v>
      </c>
      <c r="R11" s="11">
        <v>86.62</v>
      </c>
      <c r="S11" s="11">
        <v>97.6</v>
      </c>
      <c r="T11" s="10" t="s">
        <v>67</v>
      </c>
      <c r="U11" s="11">
        <v>86.62</v>
      </c>
      <c r="V11" s="10" t="s">
        <v>56</v>
      </c>
      <c r="W11" s="11">
        <v>200</v>
      </c>
      <c r="X11" s="10" t="s">
        <v>190</v>
      </c>
      <c r="Y11" s="11">
        <v>300</v>
      </c>
      <c r="Z11" s="10" t="s">
        <v>67</v>
      </c>
      <c r="AA11" s="11">
        <v>86.62</v>
      </c>
      <c r="AB11" s="10" t="s">
        <v>68</v>
      </c>
      <c r="AC11" s="10">
        <v>488</v>
      </c>
      <c r="AD11" s="10" t="s">
        <v>69</v>
      </c>
      <c r="AE11" s="10">
        <v>463.59999999999997</v>
      </c>
      <c r="AF11" s="10">
        <v>488</v>
      </c>
    </row>
    <row r="12" spans="1:32" x14ac:dyDescent="0.25">
      <c r="A12" s="10" t="s">
        <v>70</v>
      </c>
      <c r="B12" s="13">
        <v>2071.42</v>
      </c>
      <c r="C12" s="10" t="s">
        <v>71</v>
      </c>
      <c r="D12" s="13">
        <v>1836.1</v>
      </c>
      <c r="E12" s="37" t="s">
        <v>72</v>
      </c>
      <c r="F12" s="52">
        <v>200</v>
      </c>
      <c r="G12" s="37" t="s">
        <v>73</v>
      </c>
      <c r="H12" s="13">
        <v>622.20000000000005</v>
      </c>
      <c r="I12" s="37">
        <v>5</v>
      </c>
      <c r="J12" s="79">
        <v>653.30999999999995</v>
      </c>
      <c r="K12" s="10" t="s">
        <v>58</v>
      </c>
      <c r="L12" s="11">
        <v>244</v>
      </c>
      <c r="M12" s="10" t="s">
        <v>74</v>
      </c>
      <c r="N12" s="11">
        <v>1018.7</v>
      </c>
      <c r="O12" s="57">
        <f t="shared" si="0"/>
        <v>14.970059880239518</v>
      </c>
      <c r="P12" s="71">
        <v>1171.2</v>
      </c>
      <c r="Q12" s="10" t="s">
        <v>75</v>
      </c>
      <c r="R12" s="11">
        <v>114.68</v>
      </c>
      <c r="S12" s="11">
        <v>152.5</v>
      </c>
      <c r="T12" s="10" t="s">
        <v>75</v>
      </c>
      <c r="U12" s="11">
        <v>114.68</v>
      </c>
      <c r="V12" s="10" t="s">
        <v>76</v>
      </c>
      <c r="W12" s="11">
        <v>180</v>
      </c>
      <c r="X12" s="10" t="s">
        <v>68</v>
      </c>
      <c r="Y12" s="11">
        <v>180</v>
      </c>
      <c r="Z12" s="10" t="s">
        <v>75</v>
      </c>
      <c r="AA12" s="11">
        <v>114.68</v>
      </c>
      <c r="AB12" s="10" t="s">
        <v>78</v>
      </c>
      <c r="AC12" s="10">
        <v>1098</v>
      </c>
      <c r="AD12" s="10" t="s">
        <v>79</v>
      </c>
      <c r="AE12" s="10">
        <v>829.6</v>
      </c>
      <c r="AF12" s="10">
        <v>854</v>
      </c>
    </row>
    <row r="13" spans="1:32" x14ac:dyDescent="0.25">
      <c r="A13" s="10" t="s">
        <v>80</v>
      </c>
      <c r="B13" s="13">
        <v>186.01</v>
      </c>
      <c r="C13" s="18" t="s">
        <v>81</v>
      </c>
      <c r="D13" s="13">
        <v>3989.4</v>
      </c>
      <c r="E13" s="37" t="s">
        <v>82</v>
      </c>
      <c r="F13" s="52">
        <v>200</v>
      </c>
      <c r="G13" s="37" t="s">
        <v>83</v>
      </c>
      <c r="H13" s="13">
        <v>969.9</v>
      </c>
      <c r="I13" s="37">
        <v>5</v>
      </c>
      <c r="J13" s="79">
        <v>1018.4</v>
      </c>
      <c r="K13" s="10" t="s">
        <v>84</v>
      </c>
      <c r="L13" s="11">
        <v>134.19999999999999</v>
      </c>
      <c r="M13" s="10" t="s">
        <v>40</v>
      </c>
      <c r="N13" s="11">
        <v>146.4</v>
      </c>
      <c r="O13" s="57">
        <f t="shared" si="0"/>
        <v>16.666666666666657</v>
      </c>
      <c r="P13" s="71">
        <v>170.8</v>
      </c>
      <c r="Q13" s="10" t="s">
        <v>85</v>
      </c>
      <c r="R13" s="11">
        <v>86.62</v>
      </c>
      <c r="S13" s="11">
        <v>97.6</v>
      </c>
      <c r="T13" s="10" t="s">
        <v>85</v>
      </c>
      <c r="U13" s="11">
        <v>86.62</v>
      </c>
      <c r="V13" s="10" t="s">
        <v>78</v>
      </c>
      <c r="W13" s="11">
        <v>445</v>
      </c>
      <c r="X13" s="10" t="s">
        <v>191</v>
      </c>
      <c r="Y13" s="11">
        <v>596</v>
      </c>
      <c r="Z13" s="10" t="s">
        <v>85</v>
      </c>
      <c r="AA13" s="11">
        <v>86.62</v>
      </c>
      <c r="AB13" s="10" t="s">
        <v>86</v>
      </c>
      <c r="AC13" s="10">
        <v>1586</v>
      </c>
      <c r="AD13" s="10" t="s">
        <v>87</v>
      </c>
      <c r="AE13" s="10">
        <v>1000.4</v>
      </c>
      <c r="AF13" s="10">
        <v>1024.8</v>
      </c>
    </row>
    <row r="14" spans="1:32" x14ac:dyDescent="0.25">
      <c r="A14" s="10" t="s">
        <v>88</v>
      </c>
      <c r="B14" s="13">
        <v>372.02</v>
      </c>
      <c r="C14" s="10" t="s">
        <v>89</v>
      </c>
      <c r="D14" s="13">
        <v>253.76</v>
      </c>
      <c r="E14" s="37" t="s">
        <v>83</v>
      </c>
      <c r="F14" s="52">
        <v>650</v>
      </c>
      <c r="G14" s="37" t="s">
        <v>40</v>
      </c>
      <c r="H14" s="13">
        <v>176.9</v>
      </c>
      <c r="I14" s="37">
        <v>5</v>
      </c>
      <c r="J14" s="79">
        <v>185.75</v>
      </c>
      <c r="K14" s="10" t="s">
        <v>70</v>
      </c>
      <c r="L14" s="11">
        <v>976</v>
      </c>
      <c r="M14" s="10" t="s">
        <v>90</v>
      </c>
      <c r="N14" s="11">
        <v>134.19999999999999</v>
      </c>
      <c r="O14" s="57">
        <f t="shared" si="0"/>
        <v>13.63636363636364</v>
      </c>
      <c r="P14" s="71">
        <v>152.5</v>
      </c>
      <c r="Q14" s="10" t="s">
        <v>91</v>
      </c>
      <c r="R14" s="11">
        <v>1493.28</v>
      </c>
      <c r="S14" s="11">
        <v>1342</v>
      </c>
      <c r="T14" s="10" t="s">
        <v>91</v>
      </c>
      <c r="U14" s="11">
        <v>1493.28</v>
      </c>
      <c r="V14" s="10" t="s">
        <v>77</v>
      </c>
      <c r="W14" s="11">
        <v>665</v>
      </c>
      <c r="X14" s="10" t="s">
        <v>192</v>
      </c>
      <c r="Y14" s="11">
        <v>1100</v>
      </c>
      <c r="Z14" s="10" t="s">
        <v>91</v>
      </c>
      <c r="AA14" s="11">
        <v>1493.28</v>
      </c>
      <c r="AB14" s="10" t="s">
        <v>92</v>
      </c>
      <c r="AC14" s="10">
        <v>128.1</v>
      </c>
      <c r="AD14" s="10" t="s">
        <v>93</v>
      </c>
      <c r="AE14" s="10">
        <v>146.4</v>
      </c>
      <c r="AF14" s="10">
        <v>195.2</v>
      </c>
    </row>
    <row r="15" spans="1:32" x14ac:dyDescent="0.25">
      <c r="A15" s="10" t="s">
        <v>94</v>
      </c>
      <c r="B15" s="13">
        <v>271.95999999999998</v>
      </c>
      <c r="C15" s="10" t="s">
        <v>95</v>
      </c>
      <c r="D15" s="13">
        <v>336.72</v>
      </c>
      <c r="E15" s="37" t="s">
        <v>70</v>
      </c>
      <c r="F15" s="52">
        <v>550</v>
      </c>
      <c r="G15" s="37" t="s">
        <v>96</v>
      </c>
      <c r="H15" s="13">
        <v>683.2</v>
      </c>
      <c r="I15" s="37">
        <v>5</v>
      </c>
      <c r="J15" s="79">
        <v>717.36</v>
      </c>
      <c r="K15" s="10" t="s">
        <v>97</v>
      </c>
      <c r="L15" s="11">
        <v>634.4</v>
      </c>
      <c r="M15" s="10" t="s">
        <v>98</v>
      </c>
      <c r="N15" s="11">
        <v>134.19999999999999</v>
      </c>
      <c r="O15" s="57">
        <f t="shared" si="0"/>
        <v>13.63636363636364</v>
      </c>
      <c r="P15" s="71">
        <v>152.5</v>
      </c>
      <c r="Q15" s="10" t="s">
        <v>99</v>
      </c>
      <c r="R15" s="11">
        <v>101.26</v>
      </c>
      <c r="S15" s="11">
        <v>122</v>
      </c>
      <c r="T15" s="10" t="s">
        <v>99</v>
      </c>
      <c r="U15" s="11">
        <v>101.26</v>
      </c>
      <c r="V15" s="10" t="s">
        <v>100</v>
      </c>
      <c r="W15" s="11">
        <v>85</v>
      </c>
      <c r="X15" s="10" t="s">
        <v>89</v>
      </c>
      <c r="Y15" s="11">
        <v>140</v>
      </c>
      <c r="Z15" s="10" t="s">
        <v>99</v>
      </c>
      <c r="AA15" s="11">
        <v>101.26</v>
      </c>
      <c r="AB15" s="10" t="s">
        <v>101</v>
      </c>
      <c r="AC15" s="10">
        <v>213.5</v>
      </c>
      <c r="AD15" s="10" t="s">
        <v>102</v>
      </c>
      <c r="AE15" s="10">
        <v>195.2</v>
      </c>
      <c r="AF15" s="10">
        <v>219.6</v>
      </c>
    </row>
    <row r="16" spans="1:32" x14ac:dyDescent="0.25">
      <c r="A16" s="10" t="s">
        <v>103</v>
      </c>
      <c r="B16" s="13">
        <v>360.74</v>
      </c>
      <c r="C16" s="10" t="s">
        <v>104</v>
      </c>
      <c r="D16" s="13">
        <v>253.76</v>
      </c>
      <c r="E16" s="37" t="s">
        <v>105</v>
      </c>
      <c r="F16" s="52">
        <v>150</v>
      </c>
      <c r="G16" s="37" t="s">
        <v>43</v>
      </c>
      <c r="H16" s="13">
        <v>122</v>
      </c>
      <c r="I16" s="37">
        <v>5</v>
      </c>
      <c r="J16" s="79">
        <v>128.1</v>
      </c>
      <c r="K16" s="10" t="s">
        <v>106</v>
      </c>
      <c r="L16" s="11">
        <v>1024.8</v>
      </c>
      <c r="M16" s="10"/>
      <c r="N16" s="10"/>
      <c r="O16" s="10"/>
      <c r="P16" s="10"/>
      <c r="Q16" s="10" t="s">
        <v>107</v>
      </c>
      <c r="R16" s="11">
        <v>86.62</v>
      </c>
      <c r="S16" s="11">
        <v>97.6</v>
      </c>
      <c r="T16" s="10" t="s">
        <v>107</v>
      </c>
      <c r="U16" s="11">
        <v>86.62</v>
      </c>
      <c r="V16" s="10" t="s">
        <v>108</v>
      </c>
      <c r="W16" s="11">
        <v>125</v>
      </c>
      <c r="X16" s="10" t="s">
        <v>95</v>
      </c>
      <c r="Y16" s="11">
        <v>190</v>
      </c>
      <c r="Z16" s="10" t="s">
        <v>107</v>
      </c>
      <c r="AA16" s="11">
        <v>86.62</v>
      </c>
      <c r="AB16" s="10" t="s">
        <v>109</v>
      </c>
      <c r="AC16" s="10">
        <v>1037</v>
      </c>
      <c r="AD16" s="10" t="s">
        <v>110</v>
      </c>
      <c r="AE16" s="10">
        <v>268.39999999999998</v>
      </c>
      <c r="AF16" s="10">
        <v>292.8</v>
      </c>
    </row>
    <row r="17" spans="1:32" ht="15.75" thickBot="1" x14ac:dyDescent="0.3">
      <c r="A17" s="10"/>
      <c r="B17" s="65"/>
      <c r="C17" s="10" t="s">
        <v>111</v>
      </c>
      <c r="D17" s="13">
        <v>124.44</v>
      </c>
      <c r="E17" s="70"/>
      <c r="F17" s="46"/>
      <c r="G17" s="37"/>
      <c r="H17" s="37"/>
      <c r="I17" s="37"/>
      <c r="J17" s="10"/>
      <c r="K17" s="10" t="s">
        <v>112</v>
      </c>
      <c r="L17" s="11">
        <v>1207.8</v>
      </c>
      <c r="M17" s="10"/>
      <c r="N17" s="10"/>
      <c r="O17" s="10"/>
      <c r="P17" s="10"/>
      <c r="Q17" s="10" t="s">
        <v>113</v>
      </c>
      <c r="R17" s="11">
        <v>212.28</v>
      </c>
      <c r="S17" s="11">
        <v>233.5</v>
      </c>
      <c r="T17" s="10" t="s">
        <v>114</v>
      </c>
      <c r="U17" s="11">
        <v>212.28</v>
      </c>
      <c r="V17" s="10" t="s">
        <v>115</v>
      </c>
      <c r="W17" s="11">
        <v>100</v>
      </c>
      <c r="X17" s="10" t="s">
        <v>104</v>
      </c>
      <c r="Y17" s="11">
        <v>105</v>
      </c>
      <c r="Z17" s="10" t="s">
        <v>114</v>
      </c>
      <c r="AA17" s="11">
        <v>212.28</v>
      </c>
      <c r="AB17" s="10" t="s">
        <v>104</v>
      </c>
      <c r="AC17" s="10">
        <v>152.5</v>
      </c>
      <c r="AD17" s="10" t="s">
        <v>116</v>
      </c>
      <c r="AE17" s="10">
        <v>183</v>
      </c>
      <c r="AF17" s="10">
        <v>207.4</v>
      </c>
    </row>
    <row r="18" spans="1:32" x14ac:dyDescent="0.25">
      <c r="A18" s="10"/>
      <c r="B18" s="10"/>
      <c r="C18" s="10" t="s">
        <v>70</v>
      </c>
      <c r="D18" s="13">
        <v>1356.64</v>
      </c>
      <c r="G18" s="10"/>
      <c r="H18" s="10"/>
      <c r="I18" s="10"/>
      <c r="J18" s="10"/>
      <c r="K18" s="10" t="s">
        <v>117</v>
      </c>
      <c r="L18" s="11">
        <v>3416</v>
      </c>
      <c r="M18" s="73"/>
      <c r="N18" s="10"/>
      <c r="O18" s="10"/>
      <c r="P18" s="37"/>
      <c r="Q18" s="10" t="s">
        <v>118</v>
      </c>
      <c r="R18" s="11">
        <v>668.56</v>
      </c>
      <c r="S18" s="11">
        <v>1098</v>
      </c>
      <c r="T18" s="10" t="s">
        <v>119</v>
      </c>
      <c r="U18" s="11">
        <v>668.56</v>
      </c>
      <c r="V18" s="10" t="s">
        <v>70</v>
      </c>
      <c r="W18" s="11">
        <v>600</v>
      </c>
      <c r="X18" s="10" t="s">
        <v>43</v>
      </c>
      <c r="Y18" s="11">
        <v>105</v>
      </c>
      <c r="Z18" s="10" t="s">
        <v>119</v>
      </c>
      <c r="AA18" s="11">
        <v>668.56</v>
      </c>
      <c r="AB18" s="10" t="s">
        <v>120</v>
      </c>
      <c r="AC18" s="10">
        <v>152.5</v>
      </c>
      <c r="AD18" s="10" t="s">
        <v>121</v>
      </c>
      <c r="AE18" s="10">
        <v>244</v>
      </c>
      <c r="AF18" s="10">
        <v>268.39999999999998</v>
      </c>
    </row>
    <row r="19" spans="1:32" x14ac:dyDescent="0.25">
      <c r="A19" s="10" t="s">
        <v>122</v>
      </c>
      <c r="B19" s="10"/>
      <c r="C19" s="10" t="s">
        <v>43</v>
      </c>
      <c r="D19" s="13">
        <v>180.56</v>
      </c>
      <c r="G19" s="10"/>
      <c r="H19" s="10"/>
      <c r="I19" s="10"/>
      <c r="J19" s="9"/>
      <c r="K19" s="10"/>
      <c r="L19" s="10"/>
      <c r="M19" s="10"/>
      <c r="N19" s="10"/>
      <c r="O19" s="10"/>
      <c r="P19" s="10"/>
      <c r="Q19" s="10" t="s">
        <v>123</v>
      </c>
      <c r="R19" s="11">
        <v>334.28</v>
      </c>
      <c r="S19" s="11">
        <v>549</v>
      </c>
      <c r="T19" s="10" t="s">
        <v>124</v>
      </c>
      <c r="U19" s="11">
        <v>334.28</v>
      </c>
      <c r="V19" s="10"/>
      <c r="W19" s="10"/>
      <c r="X19" s="10" t="s">
        <v>70</v>
      </c>
      <c r="Y19" s="11">
        <v>1100</v>
      </c>
      <c r="Z19" s="10" t="s">
        <v>124</v>
      </c>
      <c r="AA19" s="11">
        <v>334.28</v>
      </c>
      <c r="AD19" s="10" t="s">
        <v>125</v>
      </c>
      <c r="AE19" s="10">
        <v>976</v>
      </c>
      <c r="AF19" s="10">
        <v>1000.4</v>
      </c>
    </row>
    <row r="20" spans="1:32" x14ac:dyDescent="0.25">
      <c r="A20" s="10"/>
      <c r="B20" s="10"/>
      <c r="C20" s="22" t="s">
        <v>126</v>
      </c>
      <c r="D20" s="13">
        <v>2341.1799999999998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 t="s">
        <v>127</v>
      </c>
      <c r="R20" s="11">
        <v>217.16</v>
      </c>
      <c r="S20" s="11">
        <v>244</v>
      </c>
      <c r="T20" s="10" t="s">
        <v>127</v>
      </c>
      <c r="U20" s="11">
        <v>217.16</v>
      </c>
      <c r="V20" s="10"/>
      <c r="W20" s="10"/>
      <c r="X20" s="10"/>
      <c r="Y20" s="10"/>
      <c r="Z20" s="10" t="s">
        <v>127</v>
      </c>
      <c r="AA20" s="11">
        <v>217.16</v>
      </c>
      <c r="AD20" s="10" t="s">
        <v>128</v>
      </c>
      <c r="AE20" s="10">
        <v>183</v>
      </c>
      <c r="AF20" s="10">
        <v>207.4</v>
      </c>
    </row>
    <row r="21" spans="1:32" x14ac:dyDescent="0.25">
      <c r="B21" s="10"/>
      <c r="C21" s="10" t="s">
        <v>178</v>
      </c>
      <c r="D21" s="13">
        <v>2393.64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 t="s">
        <v>130</v>
      </c>
      <c r="R21" s="11">
        <v>1050.42</v>
      </c>
      <c r="S21" s="11">
        <v>1050.42</v>
      </c>
      <c r="T21" s="10" t="s">
        <v>130</v>
      </c>
      <c r="U21" s="11">
        <v>1050.42</v>
      </c>
      <c r="V21" s="10"/>
      <c r="W21" s="10"/>
      <c r="X21" s="10"/>
      <c r="Y21" s="10"/>
      <c r="Z21" s="10" t="s">
        <v>130</v>
      </c>
      <c r="AA21" s="11">
        <v>1050.42</v>
      </c>
      <c r="AB21" s="96"/>
      <c r="AC21" s="96"/>
      <c r="AD21" s="96"/>
      <c r="AE21" s="96"/>
    </row>
    <row r="22" spans="1:32" ht="18" x14ac:dyDescent="0.35">
      <c r="A22" s="10"/>
      <c r="B22" s="10"/>
      <c r="C22" s="10" t="s">
        <v>131</v>
      </c>
      <c r="D22" s="13">
        <v>64.66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 t="s">
        <v>132</v>
      </c>
      <c r="R22" s="11">
        <v>485.56</v>
      </c>
      <c r="S22" s="11">
        <v>485.56</v>
      </c>
      <c r="T22" s="10" t="s">
        <v>132</v>
      </c>
      <c r="U22" s="11">
        <v>485.56</v>
      </c>
      <c r="V22" s="10"/>
      <c r="W22" s="10"/>
      <c r="X22" s="10"/>
      <c r="Y22" s="10"/>
      <c r="Z22" s="10" t="s">
        <v>132</v>
      </c>
      <c r="AA22" s="11">
        <v>485.56</v>
      </c>
      <c r="AD22" s="25"/>
    </row>
    <row r="23" spans="1:32" ht="15.75" x14ac:dyDescent="0.3">
      <c r="A23" s="10"/>
      <c r="B23" s="10"/>
      <c r="C23" s="10" t="s">
        <v>133</v>
      </c>
      <c r="D23" s="13">
        <v>124.44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 t="s">
        <v>134</v>
      </c>
      <c r="R23" s="11">
        <v>114.68</v>
      </c>
      <c r="S23" s="11">
        <v>152.5</v>
      </c>
      <c r="T23" s="10" t="s">
        <v>134</v>
      </c>
      <c r="U23" s="11">
        <v>114.68</v>
      </c>
      <c r="V23" s="10"/>
      <c r="W23" s="10"/>
      <c r="X23" s="10"/>
      <c r="Y23" s="10"/>
      <c r="Z23" s="10" t="s">
        <v>134</v>
      </c>
      <c r="AA23" s="11">
        <v>114.68</v>
      </c>
      <c r="AD23" s="26"/>
    </row>
    <row r="24" spans="1:32" ht="15.75" x14ac:dyDescent="0.3">
      <c r="A24" s="10"/>
      <c r="B24" s="10"/>
      <c r="C24" s="10" t="s">
        <v>135</v>
      </c>
      <c r="D24" s="13">
        <v>64.66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 t="s">
        <v>111</v>
      </c>
      <c r="R24" s="11">
        <v>76.86</v>
      </c>
      <c r="S24" s="11">
        <v>76.86</v>
      </c>
      <c r="T24" s="10" t="s">
        <v>111</v>
      </c>
      <c r="U24" s="11">
        <v>76.86</v>
      </c>
      <c r="V24" s="10"/>
      <c r="W24" s="10"/>
      <c r="X24" s="10"/>
      <c r="Y24" s="10"/>
      <c r="Z24" s="10" t="s">
        <v>111</v>
      </c>
      <c r="AA24" s="11">
        <v>76.86</v>
      </c>
      <c r="AD24" s="27"/>
    </row>
    <row r="25" spans="1:32" x14ac:dyDescent="0.25">
      <c r="A25" s="9"/>
      <c r="B25" s="9"/>
      <c r="C25" s="10" t="s">
        <v>136</v>
      </c>
      <c r="D25" s="13">
        <v>92.72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 t="s">
        <v>70</v>
      </c>
      <c r="R25" s="11">
        <v>829.6</v>
      </c>
      <c r="S25" s="11">
        <v>915</v>
      </c>
      <c r="T25" s="10" t="s">
        <v>70</v>
      </c>
      <c r="U25" s="11">
        <v>829.6</v>
      </c>
      <c r="V25" s="10"/>
      <c r="W25" s="10"/>
      <c r="X25" s="10"/>
      <c r="Y25" s="10"/>
      <c r="Z25" s="10" t="s">
        <v>70</v>
      </c>
      <c r="AA25" s="11">
        <v>829.6</v>
      </c>
    </row>
    <row r="26" spans="1:32" x14ac:dyDescent="0.25">
      <c r="C26" s="10" t="s">
        <v>137</v>
      </c>
      <c r="D26" s="13">
        <v>240.34</v>
      </c>
      <c r="Q26" s="10" t="s">
        <v>138</v>
      </c>
      <c r="R26" s="11">
        <v>37</v>
      </c>
      <c r="S26" s="11">
        <v>36.6</v>
      </c>
    </row>
    <row r="27" spans="1:32" x14ac:dyDescent="0.25">
      <c r="C27" s="10" t="s">
        <v>177</v>
      </c>
      <c r="D27" s="13">
        <v>3989.4</v>
      </c>
      <c r="Q27" s="10" t="s">
        <v>139</v>
      </c>
      <c r="R27" s="11">
        <v>39</v>
      </c>
      <c r="S27" s="11">
        <v>56.12</v>
      </c>
    </row>
    <row r="28" spans="1:32" x14ac:dyDescent="0.25">
      <c r="Q28" s="10" t="s">
        <v>140</v>
      </c>
      <c r="R28" s="11">
        <v>28</v>
      </c>
      <c r="S28" s="11">
        <v>36.6</v>
      </c>
    </row>
    <row r="29" spans="1:32" ht="15.75" thickBot="1" x14ac:dyDescent="0.3">
      <c r="Q29" s="10" t="s">
        <v>141</v>
      </c>
      <c r="R29" s="11">
        <v>37</v>
      </c>
      <c r="S29" s="11">
        <v>36.6</v>
      </c>
    </row>
    <row r="30" spans="1:32" ht="15.75" thickBot="1" x14ac:dyDescent="0.3">
      <c r="B30" s="64"/>
      <c r="H30" s="67" t="s">
        <v>183</v>
      </c>
      <c r="I30" s="76">
        <v>5</v>
      </c>
      <c r="N30" s="67" t="s">
        <v>182</v>
      </c>
      <c r="O30" s="74">
        <f>AVERAGE(O8:O15)</f>
        <v>15.583044472552219</v>
      </c>
      <c r="Q30" s="10" t="s">
        <v>142</v>
      </c>
      <c r="R30" s="11">
        <v>31</v>
      </c>
      <c r="S30" s="11"/>
    </row>
    <row r="32" spans="1:32" x14ac:dyDescent="0.25">
      <c r="F32" s="49"/>
    </row>
  </sheetData>
  <mergeCells count="11">
    <mergeCell ref="AD6:AE6"/>
    <mergeCell ref="AB21:AE21"/>
    <mergeCell ref="N3:P3"/>
    <mergeCell ref="AB5:AC5"/>
    <mergeCell ref="C6:D6"/>
    <mergeCell ref="E6:F6"/>
    <mergeCell ref="G6:J6"/>
    <mergeCell ref="K6:L6"/>
    <mergeCell ref="Q6:R6"/>
    <mergeCell ref="Z6:AA6"/>
    <mergeCell ref="AB6:AC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A81F-E01A-4678-90C7-C25C5B5CD3EC}">
  <dimension ref="A1:AF32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29.5703125" customWidth="1"/>
    <col min="2" max="2" width="28.5703125" customWidth="1"/>
    <col min="3" max="3" width="29.85546875" customWidth="1"/>
    <col min="4" max="4" width="25.7109375" customWidth="1"/>
    <col min="5" max="6" width="34.5703125" customWidth="1"/>
    <col min="7" max="7" width="22.7109375" customWidth="1"/>
    <col min="8" max="8" width="18.85546875" customWidth="1"/>
    <col min="9" max="9" width="20.7109375" customWidth="1"/>
    <col min="10" max="10" width="21.28515625" customWidth="1"/>
    <col min="11" max="11" width="25.85546875" customWidth="1"/>
    <col min="12" max="12" width="17.5703125" customWidth="1"/>
    <col min="13" max="13" width="43.85546875" customWidth="1"/>
    <col min="14" max="14" width="27" customWidth="1"/>
    <col min="15" max="15" width="23.7109375" customWidth="1"/>
    <col min="16" max="16" width="26.7109375" customWidth="1"/>
    <col min="17" max="17" width="33" customWidth="1"/>
    <col min="18" max="18" width="13.28515625" customWidth="1"/>
    <col min="19" max="19" width="12.5703125" customWidth="1"/>
    <col min="20" max="20" width="24.140625" customWidth="1"/>
    <col min="21" max="21" width="15.85546875" customWidth="1"/>
    <col min="22" max="22" width="24.140625" customWidth="1"/>
    <col min="23" max="23" width="11.140625" customWidth="1"/>
    <col min="24" max="24" width="27" customWidth="1"/>
    <col min="25" max="25" width="39.5703125" customWidth="1"/>
    <col min="26" max="26" width="23.28515625" customWidth="1"/>
    <col min="27" max="27" width="19.140625" customWidth="1"/>
    <col min="28" max="28" width="19.28515625" customWidth="1"/>
    <col min="29" max="29" width="14.85546875" customWidth="1"/>
    <col min="30" max="30" width="25.7109375" customWidth="1"/>
    <col min="31" max="31" width="16.42578125" customWidth="1"/>
    <col min="32" max="32" width="14.85546875" customWidth="1"/>
  </cols>
  <sheetData>
    <row r="1" spans="1:32" x14ac:dyDescent="0.25">
      <c r="A1" s="3" t="s">
        <v>0</v>
      </c>
      <c r="B1" s="3"/>
      <c r="C1" s="3"/>
      <c r="D1" s="3"/>
    </row>
    <row r="2" spans="1:32" ht="15.75" thickBot="1" x14ac:dyDescent="0.3"/>
    <row r="3" spans="1:32" ht="15.75" thickBot="1" x14ac:dyDescent="0.3">
      <c r="A3" s="2" t="s">
        <v>1</v>
      </c>
      <c r="B3" s="29"/>
      <c r="C3" s="29"/>
      <c r="D3" s="29"/>
      <c r="E3" s="2" t="s">
        <v>1</v>
      </c>
      <c r="F3" s="32">
        <v>0.4</v>
      </c>
      <c r="G3" s="2" t="s">
        <v>1</v>
      </c>
      <c r="H3" s="51">
        <v>0.25</v>
      </c>
      <c r="I3" s="29" t="s">
        <v>1</v>
      </c>
      <c r="J3" s="4" t="s">
        <v>2</v>
      </c>
      <c r="K3" s="2" t="s">
        <v>1</v>
      </c>
      <c r="L3" s="4">
        <v>1</v>
      </c>
      <c r="M3" s="2" t="s">
        <v>1</v>
      </c>
      <c r="N3" s="97" t="s">
        <v>2</v>
      </c>
      <c r="O3" s="97"/>
      <c r="P3" s="98"/>
      <c r="Q3" s="2" t="s">
        <v>1</v>
      </c>
      <c r="R3" s="29"/>
      <c r="S3" s="4">
        <v>0.25</v>
      </c>
      <c r="T3" s="2" t="s">
        <v>1</v>
      </c>
      <c r="U3" s="8" t="s">
        <v>2</v>
      </c>
      <c r="V3" s="2" t="s">
        <v>1</v>
      </c>
      <c r="W3" s="4">
        <v>1</v>
      </c>
      <c r="X3" s="2" t="s">
        <v>1</v>
      </c>
      <c r="Y3" s="8">
        <v>0.15</v>
      </c>
      <c r="Z3" s="2" t="s">
        <v>1</v>
      </c>
      <c r="AA3" s="8" t="s">
        <v>2</v>
      </c>
      <c r="AB3" s="2" t="s">
        <v>1</v>
      </c>
      <c r="AC3" s="8" t="s">
        <v>2</v>
      </c>
      <c r="AD3" s="2" t="s">
        <v>1</v>
      </c>
      <c r="AE3" s="28" t="s">
        <v>2</v>
      </c>
    </row>
    <row r="4" spans="1:32" ht="15.75" thickBot="1" x14ac:dyDescent="0.3">
      <c r="A4" s="1" t="s">
        <v>3</v>
      </c>
      <c r="B4" s="59"/>
      <c r="G4" s="38"/>
    </row>
    <row r="5" spans="1:32" ht="15.75" thickBot="1" x14ac:dyDescent="0.3">
      <c r="A5" s="2" t="s">
        <v>4</v>
      </c>
      <c r="B5" s="29" t="s">
        <v>184</v>
      </c>
      <c r="C5" s="29"/>
      <c r="D5" s="29"/>
      <c r="E5" s="2" t="s">
        <v>4</v>
      </c>
      <c r="F5" s="29" t="s">
        <v>6</v>
      </c>
      <c r="G5" s="2" t="s">
        <v>4</v>
      </c>
      <c r="H5" s="7" t="s">
        <v>7</v>
      </c>
      <c r="I5" s="29" t="s">
        <v>4</v>
      </c>
      <c r="J5" s="7" t="s">
        <v>8</v>
      </c>
      <c r="K5" s="2" t="s">
        <v>4</v>
      </c>
      <c r="L5" s="7" t="s">
        <v>8</v>
      </c>
      <c r="M5" s="2" t="s">
        <v>9</v>
      </c>
      <c r="N5" s="7" t="s">
        <v>8</v>
      </c>
      <c r="O5" s="7"/>
      <c r="P5" s="72" t="s">
        <v>179</v>
      </c>
      <c r="Q5" s="2" t="s">
        <v>4</v>
      </c>
      <c r="R5" s="29"/>
      <c r="S5" s="7" t="s">
        <v>10</v>
      </c>
      <c r="T5" s="2" t="s">
        <v>11</v>
      </c>
      <c r="U5" s="7" t="s">
        <v>8</v>
      </c>
      <c r="V5" s="2" t="s">
        <v>4</v>
      </c>
      <c r="W5" s="7" t="s">
        <v>8</v>
      </c>
      <c r="X5" s="2" t="s">
        <v>4</v>
      </c>
      <c r="Y5" s="7" t="s">
        <v>193</v>
      </c>
      <c r="Z5" s="2" t="s">
        <v>13</v>
      </c>
      <c r="AA5" s="7" t="s">
        <v>8</v>
      </c>
      <c r="AB5" s="101" t="s">
        <v>14</v>
      </c>
      <c r="AC5" s="102"/>
      <c r="AD5" s="23" t="s">
        <v>4</v>
      </c>
      <c r="AE5" s="24"/>
    </row>
    <row r="6" spans="1:32" x14ac:dyDescent="0.25">
      <c r="A6" s="107" t="s">
        <v>15</v>
      </c>
      <c r="B6" s="107"/>
      <c r="C6" s="75"/>
      <c r="D6" s="75"/>
      <c r="E6" s="105" t="s">
        <v>16</v>
      </c>
      <c r="F6" s="105"/>
      <c r="G6" s="106" t="s">
        <v>17</v>
      </c>
      <c r="H6" s="105"/>
      <c r="I6" s="95" t="s">
        <v>18</v>
      </c>
      <c r="J6" s="95"/>
      <c r="K6" s="105" t="s">
        <v>19</v>
      </c>
      <c r="L6" s="105"/>
      <c r="M6" s="17" t="s">
        <v>20</v>
      </c>
      <c r="N6" s="17"/>
      <c r="O6" s="17"/>
      <c r="P6" s="17"/>
      <c r="Q6" s="95" t="s">
        <v>21</v>
      </c>
      <c r="R6" s="95"/>
      <c r="S6" s="17"/>
      <c r="T6" s="17" t="s">
        <v>22</v>
      </c>
      <c r="U6" s="17"/>
      <c r="V6" s="17" t="s">
        <v>23</v>
      </c>
      <c r="W6" s="17"/>
      <c r="X6" s="78" t="s">
        <v>185</v>
      </c>
      <c r="Y6" s="78"/>
      <c r="Z6" s="95" t="s">
        <v>25</v>
      </c>
      <c r="AA6" s="95"/>
      <c r="AB6" s="95" t="s">
        <v>26</v>
      </c>
      <c r="AC6" s="95"/>
      <c r="AD6" s="95" t="s">
        <v>27</v>
      </c>
      <c r="AE6" s="95"/>
    </row>
    <row r="7" spans="1:32" x14ac:dyDescent="0.25">
      <c r="A7" s="9" t="s">
        <v>28</v>
      </c>
      <c r="B7" s="9" t="s">
        <v>29</v>
      </c>
      <c r="C7" s="30" t="s">
        <v>146</v>
      </c>
      <c r="D7" s="9" t="s">
        <v>180</v>
      </c>
      <c r="E7" s="9" t="s">
        <v>28</v>
      </c>
      <c r="F7" s="33" t="s">
        <v>30</v>
      </c>
      <c r="G7" s="40" t="s">
        <v>28</v>
      </c>
      <c r="H7" s="53" t="s">
        <v>30</v>
      </c>
      <c r="I7" s="36" t="s">
        <v>28</v>
      </c>
      <c r="J7" s="12" t="s">
        <v>30</v>
      </c>
      <c r="K7" s="9" t="s">
        <v>28</v>
      </c>
      <c r="L7" s="9" t="s">
        <v>30</v>
      </c>
      <c r="M7" s="9" t="s">
        <v>28</v>
      </c>
      <c r="N7" s="9" t="s">
        <v>31</v>
      </c>
      <c r="O7" s="30" t="s">
        <v>181</v>
      </c>
      <c r="P7" s="9" t="s">
        <v>180</v>
      </c>
      <c r="Q7" s="9" t="s">
        <v>28</v>
      </c>
      <c r="R7" s="9" t="s">
        <v>31</v>
      </c>
      <c r="S7" s="63" t="s">
        <v>29</v>
      </c>
      <c r="T7" s="9" t="s">
        <v>28</v>
      </c>
      <c r="U7" s="9" t="s">
        <v>31</v>
      </c>
      <c r="V7" s="9" t="s">
        <v>28</v>
      </c>
      <c r="W7" s="9" t="s">
        <v>31</v>
      </c>
      <c r="X7" s="9" t="s">
        <v>28</v>
      </c>
      <c r="Y7" s="9" t="s">
        <v>186</v>
      </c>
      <c r="Z7" s="9" t="s">
        <v>28</v>
      </c>
      <c r="AA7" s="9" t="s">
        <v>31</v>
      </c>
      <c r="AB7" s="9" t="s">
        <v>32</v>
      </c>
      <c r="AC7" s="9" t="s">
        <v>33</v>
      </c>
      <c r="AD7" s="9" t="s">
        <v>32</v>
      </c>
      <c r="AE7" s="9" t="s">
        <v>34</v>
      </c>
      <c r="AF7" s="9" t="s">
        <v>35</v>
      </c>
    </row>
    <row r="8" spans="1:32" x14ac:dyDescent="0.25">
      <c r="A8" s="10" t="s">
        <v>36</v>
      </c>
      <c r="B8" s="11">
        <v>285.2</v>
      </c>
      <c r="C8" s="58">
        <f t="shared" ref="C8:C16" si="0">D8*100/B8-100</f>
        <v>1.7776998597475426</v>
      </c>
      <c r="D8" s="71">
        <v>290.27</v>
      </c>
      <c r="E8" s="10" t="s">
        <v>37</v>
      </c>
      <c r="F8" s="65">
        <v>145.18</v>
      </c>
      <c r="G8" s="41" t="s">
        <v>38</v>
      </c>
      <c r="H8" s="52">
        <v>100</v>
      </c>
      <c r="I8" s="37" t="s">
        <v>39</v>
      </c>
      <c r="J8" s="13">
        <v>103.7</v>
      </c>
      <c r="K8" s="10" t="s">
        <v>40</v>
      </c>
      <c r="L8" s="11">
        <v>128.1</v>
      </c>
      <c r="M8" s="10" t="s">
        <v>41</v>
      </c>
      <c r="N8" s="11">
        <v>103.7</v>
      </c>
      <c r="O8" s="57">
        <f t="shared" ref="O8:O15" si="1">P8*100/N8-100</f>
        <v>17.647058823529406</v>
      </c>
      <c r="P8" s="71">
        <v>122</v>
      </c>
      <c r="Q8" s="10" t="s">
        <v>42</v>
      </c>
      <c r="R8" s="11">
        <v>86.62</v>
      </c>
      <c r="S8" s="11">
        <v>97.6</v>
      </c>
      <c r="T8" s="10" t="s">
        <v>42</v>
      </c>
      <c r="U8" s="11">
        <v>86.62</v>
      </c>
      <c r="V8" s="10" t="s">
        <v>43</v>
      </c>
      <c r="W8" s="11">
        <v>90</v>
      </c>
      <c r="X8" s="10" t="s">
        <v>187</v>
      </c>
      <c r="Y8" s="11">
        <v>105</v>
      </c>
      <c r="Z8" s="10" t="s">
        <v>42</v>
      </c>
      <c r="AA8" s="11">
        <v>86.62</v>
      </c>
      <c r="AB8" s="10" t="s">
        <v>39</v>
      </c>
      <c r="AC8" s="10">
        <v>122</v>
      </c>
      <c r="AD8" s="10" t="s">
        <v>44</v>
      </c>
      <c r="AE8" s="10">
        <v>87.84</v>
      </c>
      <c r="AF8" s="10">
        <v>112.24</v>
      </c>
    </row>
    <row r="9" spans="1:32" x14ac:dyDescent="0.25">
      <c r="A9" s="10" t="s">
        <v>45</v>
      </c>
      <c r="B9" s="11">
        <v>398.73</v>
      </c>
      <c r="C9" s="58">
        <f t="shared" si="0"/>
        <v>1.780653575100942</v>
      </c>
      <c r="D9" s="71">
        <v>405.83</v>
      </c>
      <c r="E9" s="10" t="s">
        <v>46</v>
      </c>
      <c r="F9" s="65">
        <v>196.42</v>
      </c>
      <c r="G9" s="41" t="s">
        <v>47</v>
      </c>
      <c r="H9" s="52">
        <v>60</v>
      </c>
      <c r="I9" s="37" t="s">
        <v>48</v>
      </c>
      <c r="J9" s="13">
        <v>140.30000000000001</v>
      </c>
      <c r="K9" s="10" t="s">
        <v>49</v>
      </c>
      <c r="L9" s="11">
        <v>103.7</v>
      </c>
      <c r="M9" s="10" t="s">
        <v>50</v>
      </c>
      <c r="N9" s="11">
        <v>146.4</v>
      </c>
      <c r="O9" s="57">
        <f t="shared" si="1"/>
        <v>16.666666666666657</v>
      </c>
      <c r="P9" s="71">
        <v>170.8</v>
      </c>
      <c r="Q9" s="10" t="s">
        <v>51</v>
      </c>
      <c r="R9" s="11">
        <v>129.32</v>
      </c>
      <c r="S9" s="11">
        <v>146.4</v>
      </c>
      <c r="T9" s="10" t="s">
        <v>51</v>
      </c>
      <c r="U9" s="11">
        <v>129.32</v>
      </c>
      <c r="V9" s="10" t="s">
        <v>52</v>
      </c>
      <c r="W9" s="11">
        <v>90</v>
      </c>
      <c r="X9" s="10" t="s">
        <v>188</v>
      </c>
      <c r="Y9" s="11">
        <v>160</v>
      </c>
      <c r="Z9" s="10" t="s">
        <v>51</v>
      </c>
      <c r="AA9" s="11">
        <v>129.32</v>
      </c>
      <c r="AB9" s="10" t="s">
        <v>48</v>
      </c>
      <c r="AC9" s="10">
        <v>146.4</v>
      </c>
      <c r="AD9" s="10" t="s">
        <v>53</v>
      </c>
      <c r="AE9" s="10">
        <v>106.14</v>
      </c>
      <c r="AF9" s="10">
        <v>130.54</v>
      </c>
    </row>
    <row r="10" spans="1:32" x14ac:dyDescent="0.25">
      <c r="A10" s="10" t="s">
        <v>54</v>
      </c>
      <c r="B10" s="11">
        <v>427.81</v>
      </c>
      <c r="C10" s="58">
        <f t="shared" si="0"/>
        <v>1.7788270493910829</v>
      </c>
      <c r="D10" s="71">
        <v>435.42</v>
      </c>
      <c r="E10" s="10" t="s">
        <v>54</v>
      </c>
      <c r="F10" s="65">
        <v>506.3</v>
      </c>
      <c r="G10" s="41" t="s">
        <v>55</v>
      </c>
      <c r="H10" s="52">
        <v>90</v>
      </c>
      <c r="I10" s="37" t="s">
        <v>56</v>
      </c>
      <c r="J10" s="13">
        <v>280.60000000000002</v>
      </c>
      <c r="K10" s="10" t="s">
        <v>57</v>
      </c>
      <c r="L10" s="11">
        <v>103.7</v>
      </c>
      <c r="M10" s="10" t="s">
        <v>58</v>
      </c>
      <c r="N10" s="11">
        <v>305</v>
      </c>
      <c r="O10" s="34">
        <f t="shared" si="1"/>
        <v>16</v>
      </c>
      <c r="P10" s="71">
        <v>353.8</v>
      </c>
      <c r="Q10" s="10" t="s">
        <v>59</v>
      </c>
      <c r="R10" s="11">
        <v>167.14</v>
      </c>
      <c r="S10" s="11">
        <v>219.6</v>
      </c>
      <c r="T10" s="10" t="s">
        <v>59</v>
      </c>
      <c r="U10" s="11">
        <v>167.14</v>
      </c>
      <c r="V10" s="10" t="s">
        <v>60</v>
      </c>
      <c r="W10" s="11">
        <v>100</v>
      </c>
      <c r="X10" s="10" t="s">
        <v>189</v>
      </c>
      <c r="Y10" s="11">
        <v>195</v>
      </c>
      <c r="Z10" s="10" t="s">
        <v>59</v>
      </c>
      <c r="AA10" s="11">
        <v>167.14</v>
      </c>
      <c r="AB10" s="10" t="s">
        <v>56</v>
      </c>
      <c r="AC10" s="10">
        <v>427</v>
      </c>
      <c r="AD10" s="10" t="s">
        <v>61</v>
      </c>
      <c r="AE10" s="10">
        <v>231.79999999999998</v>
      </c>
      <c r="AF10" s="10">
        <v>256.2</v>
      </c>
    </row>
    <row r="11" spans="1:32" x14ac:dyDescent="0.25">
      <c r="A11" s="10" t="s">
        <v>62</v>
      </c>
      <c r="B11" s="11">
        <v>1427.4</v>
      </c>
      <c r="C11" s="58">
        <f t="shared" si="0"/>
        <v>1.780159730979392</v>
      </c>
      <c r="D11" s="71">
        <v>1452.81</v>
      </c>
      <c r="E11" s="10" t="s">
        <v>63</v>
      </c>
      <c r="F11" s="65">
        <v>1111.42</v>
      </c>
      <c r="G11" s="41" t="s">
        <v>57</v>
      </c>
      <c r="H11" s="52">
        <v>120</v>
      </c>
      <c r="I11" s="37" t="s">
        <v>64</v>
      </c>
      <c r="J11" s="13">
        <v>225.7</v>
      </c>
      <c r="K11" s="10" t="s">
        <v>65</v>
      </c>
      <c r="L11" s="11">
        <v>115.9</v>
      </c>
      <c r="M11" s="10" t="s">
        <v>66</v>
      </c>
      <c r="N11" s="11">
        <v>829.6</v>
      </c>
      <c r="O11" s="57">
        <f t="shared" si="1"/>
        <v>15.441176470588232</v>
      </c>
      <c r="P11" s="71">
        <v>957.7</v>
      </c>
      <c r="Q11" s="10" t="s">
        <v>67</v>
      </c>
      <c r="R11" s="11">
        <v>86.62</v>
      </c>
      <c r="S11" s="11">
        <v>97.6</v>
      </c>
      <c r="T11" s="10" t="s">
        <v>67</v>
      </c>
      <c r="U11" s="11">
        <v>86.62</v>
      </c>
      <c r="V11" s="10" t="s">
        <v>56</v>
      </c>
      <c r="W11" s="11">
        <v>200</v>
      </c>
      <c r="X11" s="10" t="s">
        <v>190</v>
      </c>
      <c r="Y11" s="11">
        <v>300</v>
      </c>
      <c r="Z11" s="10" t="s">
        <v>67</v>
      </c>
      <c r="AA11" s="11">
        <v>86.62</v>
      </c>
      <c r="AB11" s="10" t="s">
        <v>68</v>
      </c>
      <c r="AC11" s="10">
        <v>488</v>
      </c>
      <c r="AD11" s="10" t="s">
        <v>69</v>
      </c>
      <c r="AE11" s="10">
        <v>463.59999999999997</v>
      </c>
      <c r="AF11" s="10">
        <v>488</v>
      </c>
    </row>
    <row r="12" spans="1:32" x14ac:dyDescent="0.25">
      <c r="A12" s="10" t="s">
        <v>70</v>
      </c>
      <c r="B12" s="11">
        <v>2035.2</v>
      </c>
      <c r="C12" s="58">
        <f t="shared" si="0"/>
        <v>1.7796776729559696</v>
      </c>
      <c r="D12" s="71">
        <v>2071.42</v>
      </c>
      <c r="E12" s="10" t="s">
        <v>71</v>
      </c>
      <c r="F12" s="13">
        <v>1836.1</v>
      </c>
      <c r="G12" s="37" t="s">
        <v>72</v>
      </c>
      <c r="H12" s="52">
        <v>200</v>
      </c>
      <c r="I12" s="37" t="s">
        <v>73</v>
      </c>
      <c r="J12" s="13">
        <v>622.20000000000005</v>
      </c>
      <c r="K12" s="10" t="s">
        <v>58</v>
      </c>
      <c r="L12" s="11">
        <v>244</v>
      </c>
      <c r="M12" s="10" t="s">
        <v>74</v>
      </c>
      <c r="N12" s="11">
        <v>1018.7</v>
      </c>
      <c r="O12" s="57">
        <f t="shared" si="1"/>
        <v>14.970059880239518</v>
      </c>
      <c r="P12" s="71">
        <v>1171.2</v>
      </c>
      <c r="Q12" s="10" t="s">
        <v>75</v>
      </c>
      <c r="R12" s="11">
        <v>114.68</v>
      </c>
      <c r="S12" s="11">
        <v>152.5</v>
      </c>
      <c r="T12" s="10" t="s">
        <v>75</v>
      </c>
      <c r="U12" s="11">
        <v>114.68</v>
      </c>
      <c r="V12" s="10" t="s">
        <v>76</v>
      </c>
      <c r="W12" s="11">
        <v>180</v>
      </c>
      <c r="X12" s="10" t="s">
        <v>68</v>
      </c>
      <c r="Y12" s="11">
        <v>180</v>
      </c>
      <c r="Z12" s="10" t="s">
        <v>75</v>
      </c>
      <c r="AA12" s="11">
        <v>114.68</v>
      </c>
      <c r="AB12" s="10" t="s">
        <v>78</v>
      </c>
      <c r="AC12" s="10">
        <v>1098</v>
      </c>
      <c r="AD12" s="10" t="s">
        <v>79</v>
      </c>
      <c r="AE12" s="10">
        <v>829.6</v>
      </c>
      <c r="AF12" s="10">
        <v>854</v>
      </c>
    </row>
    <row r="13" spans="1:32" x14ac:dyDescent="0.25">
      <c r="A13" s="10" t="s">
        <v>80</v>
      </c>
      <c r="B13" s="11">
        <v>182.75</v>
      </c>
      <c r="C13" s="58">
        <f t="shared" si="0"/>
        <v>1.7838577291381625</v>
      </c>
      <c r="D13" s="71">
        <v>186.01</v>
      </c>
      <c r="E13" s="18" t="s">
        <v>81</v>
      </c>
      <c r="F13" s="13">
        <v>3989.4</v>
      </c>
      <c r="G13" s="37" t="s">
        <v>82</v>
      </c>
      <c r="H13" s="52">
        <v>200</v>
      </c>
      <c r="I13" s="37" t="s">
        <v>83</v>
      </c>
      <c r="J13" s="13">
        <v>969.9</v>
      </c>
      <c r="K13" s="10" t="s">
        <v>84</v>
      </c>
      <c r="L13" s="11">
        <v>134.19999999999999</v>
      </c>
      <c r="M13" s="10" t="s">
        <v>40</v>
      </c>
      <c r="N13" s="11">
        <v>146.4</v>
      </c>
      <c r="O13" s="57">
        <f t="shared" si="1"/>
        <v>16.666666666666657</v>
      </c>
      <c r="P13" s="71">
        <v>170.8</v>
      </c>
      <c r="Q13" s="10" t="s">
        <v>85</v>
      </c>
      <c r="R13" s="11">
        <v>86.62</v>
      </c>
      <c r="S13" s="11">
        <v>97.6</v>
      </c>
      <c r="T13" s="10" t="s">
        <v>85</v>
      </c>
      <c r="U13" s="11">
        <v>86.62</v>
      </c>
      <c r="V13" s="10" t="s">
        <v>78</v>
      </c>
      <c r="W13" s="11">
        <v>445</v>
      </c>
      <c r="X13" s="10" t="s">
        <v>191</v>
      </c>
      <c r="Y13" s="11">
        <v>596</v>
      </c>
      <c r="Z13" s="10" t="s">
        <v>85</v>
      </c>
      <c r="AA13" s="11">
        <v>86.62</v>
      </c>
      <c r="AB13" s="10" t="s">
        <v>86</v>
      </c>
      <c r="AC13" s="10">
        <v>1586</v>
      </c>
      <c r="AD13" s="10" t="s">
        <v>87</v>
      </c>
      <c r="AE13" s="10">
        <v>1000.4</v>
      </c>
      <c r="AF13" s="10">
        <v>1024.8</v>
      </c>
    </row>
    <row r="14" spans="1:32" x14ac:dyDescent="0.25">
      <c r="A14" s="10" t="s">
        <v>88</v>
      </c>
      <c r="B14" s="11">
        <v>365.51</v>
      </c>
      <c r="C14" s="58">
        <f t="shared" si="0"/>
        <v>1.7810730212579671</v>
      </c>
      <c r="D14" s="71">
        <v>372.02</v>
      </c>
      <c r="E14" s="10" t="s">
        <v>89</v>
      </c>
      <c r="F14" s="13">
        <v>253.76</v>
      </c>
      <c r="G14" s="37" t="s">
        <v>83</v>
      </c>
      <c r="H14" s="52">
        <v>650</v>
      </c>
      <c r="I14" s="37" t="s">
        <v>40</v>
      </c>
      <c r="J14" s="13">
        <v>176.9</v>
      </c>
      <c r="K14" s="10" t="s">
        <v>70</v>
      </c>
      <c r="L14" s="11">
        <v>976</v>
      </c>
      <c r="M14" s="10" t="s">
        <v>90</v>
      </c>
      <c r="N14" s="11">
        <v>134.19999999999999</v>
      </c>
      <c r="O14" s="57">
        <f t="shared" si="1"/>
        <v>13.63636363636364</v>
      </c>
      <c r="P14" s="71">
        <v>152.5</v>
      </c>
      <c r="Q14" s="10" t="s">
        <v>91</v>
      </c>
      <c r="R14" s="11">
        <v>1493.28</v>
      </c>
      <c r="S14" s="11">
        <v>1342</v>
      </c>
      <c r="T14" s="10" t="s">
        <v>91</v>
      </c>
      <c r="U14" s="11">
        <v>1493.28</v>
      </c>
      <c r="V14" s="10" t="s">
        <v>77</v>
      </c>
      <c r="W14" s="11">
        <v>665</v>
      </c>
      <c r="X14" s="10" t="s">
        <v>192</v>
      </c>
      <c r="Y14" s="11">
        <v>1100</v>
      </c>
      <c r="Z14" s="10" t="s">
        <v>91</v>
      </c>
      <c r="AA14" s="11">
        <v>1493.28</v>
      </c>
      <c r="AB14" s="10" t="s">
        <v>92</v>
      </c>
      <c r="AC14" s="10">
        <v>128.1</v>
      </c>
      <c r="AD14" s="10" t="s">
        <v>93</v>
      </c>
      <c r="AE14" s="10">
        <v>146.4</v>
      </c>
      <c r="AF14" s="10">
        <v>195.2</v>
      </c>
    </row>
    <row r="15" spans="1:32" x14ac:dyDescent="0.25">
      <c r="A15" s="10" t="s">
        <v>94</v>
      </c>
      <c r="B15" s="11">
        <v>267.2</v>
      </c>
      <c r="C15" s="58">
        <f t="shared" si="0"/>
        <v>1.7814371257484964</v>
      </c>
      <c r="D15" s="71">
        <v>271.95999999999998</v>
      </c>
      <c r="E15" s="10" t="s">
        <v>95</v>
      </c>
      <c r="F15" s="13">
        <v>336.72</v>
      </c>
      <c r="G15" s="37" t="s">
        <v>70</v>
      </c>
      <c r="H15" s="52">
        <v>550</v>
      </c>
      <c r="I15" s="37" t="s">
        <v>96</v>
      </c>
      <c r="J15" s="13">
        <v>683.2</v>
      </c>
      <c r="K15" s="10" t="s">
        <v>97</v>
      </c>
      <c r="L15" s="11">
        <v>634.4</v>
      </c>
      <c r="M15" s="10" t="s">
        <v>98</v>
      </c>
      <c r="N15" s="11">
        <v>134.19999999999999</v>
      </c>
      <c r="O15" s="57">
        <f t="shared" si="1"/>
        <v>13.63636363636364</v>
      </c>
      <c r="P15" s="71">
        <v>152.5</v>
      </c>
      <c r="Q15" s="10" t="s">
        <v>99</v>
      </c>
      <c r="R15" s="11">
        <v>101.26</v>
      </c>
      <c r="S15" s="11">
        <v>122</v>
      </c>
      <c r="T15" s="10" t="s">
        <v>99</v>
      </c>
      <c r="U15" s="11">
        <v>101.26</v>
      </c>
      <c r="V15" s="10" t="s">
        <v>100</v>
      </c>
      <c r="W15" s="11">
        <v>85</v>
      </c>
      <c r="X15" s="10" t="s">
        <v>89</v>
      </c>
      <c r="Y15" s="11">
        <v>140</v>
      </c>
      <c r="Z15" s="10" t="s">
        <v>99</v>
      </c>
      <c r="AA15" s="11">
        <v>101.26</v>
      </c>
      <c r="AB15" s="10" t="s">
        <v>101</v>
      </c>
      <c r="AC15" s="10">
        <v>213.5</v>
      </c>
      <c r="AD15" s="10" t="s">
        <v>102</v>
      </c>
      <c r="AE15" s="10">
        <v>195.2</v>
      </c>
      <c r="AF15" s="10">
        <v>219.6</v>
      </c>
    </row>
    <row r="16" spans="1:32" x14ac:dyDescent="0.25">
      <c r="A16" s="10" t="s">
        <v>103</v>
      </c>
      <c r="B16" s="11">
        <v>354.43</v>
      </c>
      <c r="C16" s="58">
        <f t="shared" si="0"/>
        <v>1.780323336060718</v>
      </c>
      <c r="D16" s="71">
        <v>360.74</v>
      </c>
      <c r="E16" s="10" t="s">
        <v>104</v>
      </c>
      <c r="F16" s="13">
        <v>253.76</v>
      </c>
      <c r="G16" s="37" t="s">
        <v>105</v>
      </c>
      <c r="H16" s="52">
        <v>150</v>
      </c>
      <c r="I16" s="37" t="s">
        <v>43</v>
      </c>
      <c r="J16" s="13">
        <v>122</v>
      </c>
      <c r="K16" s="10" t="s">
        <v>106</v>
      </c>
      <c r="L16" s="11">
        <v>1024.8</v>
      </c>
      <c r="M16" s="10"/>
      <c r="N16" s="10"/>
      <c r="O16" s="10"/>
      <c r="P16" s="10"/>
      <c r="Q16" s="10" t="s">
        <v>107</v>
      </c>
      <c r="R16" s="11">
        <v>86.62</v>
      </c>
      <c r="S16" s="11">
        <v>97.6</v>
      </c>
      <c r="T16" s="10" t="s">
        <v>107</v>
      </c>
      <c r="U16" s="11">
        <v>86.62</v>
      </c>
      <c r="V16" s="10" t="s">
        <v>108</v>
      </c>
      <c r="W16" s="11">
        <v>125</v>
      </c>
      <c r="X16" s="10" t="s">
        <v>95</v>
      </c>
      <c r="Y16" s="11">
        <v>190</v>
      </c>
      <c r="Z16" s="10" t="s">
        <v>107</v>
      </c>
      <c r="AA16" s="11">
        <v>86.62</v>
      </c>
      <c r="AB16" s="10" t="s">
        <v>109</v>
      </c>
      <c r="AC16" s="10">
        <v>1037</v>
      </c>
      <c r="AD16" s="10" t="s">
        <v>110</v>
      </c>
      <c r="AE16" s="10">
        <v>268.39999999999998</v>
      </c>
      <c r="AF16" s="10">
        <v>292.8</v>
      </c>
    </row>
    <row r="17" spans="1:32" ht="15.75" thickBot="1" x14ac:dyDescent="0.3">
      <c r="A17" s="10"/>
      <c r="B17" s="65"/>
      <c r="C17" s="65"/>
      <c r="D17" s="65"/>
      <c r="E17" s="10" t="s">
        <v>111</v>
      </c>
      <c r="F17" s="13">
        <v>124.44</v>
      </c>
      <c r="G17" s="70"/>
      <c r="H17" s="46"/>
      <c r="I17" s="37"/>
      <c r="J17" s="10"/>
      <c r="K17" s="10" t="s">
        <v>112</v>
      </c>
      <c r="L17" s="11">
        <v>1207.8</v>
      </c>
      <c r="M17" s="10"/>
      <c r="N17" s="10"/>
      <c r="O17" s="10"/>
      <c r="P17" s="10"/>
      <c r="Q17" s="10" t="s">
        <v>113</v>
      </c>
      <c r="R17" s="11">
        <v>212.28</v>
      </c>
      <c r="S17" s="11">
        <v>233.5</v>
      </c>
      <c r="T17" s="10" t="s">
        <v>114</v>
      </c>
      <c r="U17" s="11">
        <v>212.28</v>
      </c>
      <c r="V17" s="10" t="s">
        <v>115</v>
      </c>
      <c r="W17" s="11">
        <v>100</v>
      </c>
      <c r="X17" s="10" t="s">
        <v>104</v>
      </c>
      <c r="Y17" s="11">
        <v>105</v>
      </c>
      <c r="Z17" s="10" t="s">
        <v>114</v>
      </c>
      <c r="AA17" s="11">
        <v>212.28</v>
      </c>
      <c r="AB17" s="10" t="s">
        <v>104</v>
      </c>
      <c r="AC17" s="10">
        <v>152.5</v>
      </c>
      <c r="AD17" s="10" t="s">
        <v>116</v>
      </c>
      <c r="AE17" s="10">
        <v>183</v>
      </c>
      <c r="AF17" s="10">
        <v>207.4</v>
      </c>
    </row>
    <row r="18" spans="1:32" x14ac:dyDescent="0.25">
      <c r="A18" s="10"/>
      <c r="B18" s="10"/>
      <c r="C18" s="10"/>
      <c r="D18" s="10"/>
      <c r="E18" s="10" t="s">
        <v>70</v>
      </c>
      <c r="F18" s="13">
        <v>1356.64</v>
      </c>
      <c r="I18" s="10"/>
      <c r="J18" s="10"/>
      <c r="K18" s="10" t="s">
        <v>117</v>
      </c>
      <c r="L18" s="11">
        <v>3416</v>
      </c>
      <c r="M18" s="73"/>
      <c r="N18" s="10"/>
      <c r="O18" s="10"/>
      <c r="P18" s="37"/>
      <c r="Q18" s="10" t="s">
        <v>118</v>
      </c>
      <c r="R18" s="11">
        <v>668.56</v>
      </c>
      <c r="S18" s="11">
        <v>1098</v>
      </c>
      <c r="T18" s="10" t="s">
        <v>119</v>
      </c>
      <c r="U18" s="11">
        <v>668.56</v>
      </c>
      <c r="V18" s="10" t="s">
        <v>70</v>
      </c>
      <c r="W18" s="11">
        <v>600</v>
      </c>
      <c r="X18" s="10" t="s">
        <v>43</v>
      </c>
      <c r="Y18" s="11">
        <v>105</v>
      </c>
      <c r="Z18" s="10" t="s">
        <v>119</v>
      </c>
      <c r="AA18" s="11">
        <v>668.56</v>
      </c>
      <c r="AB18" s="10" t="s">
        <v>120</v>
      </c>
      <c r="AC18" s="10">
        <v>152.5</v>
      </c>
      <c r="AD18" s="10" t="s">
        <v>121</v>
      </c>
      <c r="AE18" s="10">
        <v>244</v>
      </c>
      <c r="AF18" s="10">
        <v>268.39999999999998</v>
      </c>
    </row>
    <row r="19" spans="1:32" x14ac:dyDescent="0.25">
      <c r="A19" s="10" t="s">
        <v>122</v>
      </c>
      <c r="B19" s="10"/>
      <c r="C19" s="10"/>
      <c r="D19" s="10"/>
      <c r="E19" s="10" t="s">
        <v>43</v>
      </c>
      <c r="F19" s="13">
        <v>180.56</v>
      </c>
      <c r="I19" s="10"/>
      <c r="J19" s="9"/>
      <c r="K19" s="10"/>
      <c r="L19" s="10"/>
      <c r="M19" s="10"/>
      <c r="N19" s="10"/>
      <c r="O19" s="10"/>
      <c r="P19" s="10"/>
      <c r="Q19" s="10" t="s">
        <v>123</v>
      </c>
      <c r="R19" s="11">
        <v>334.28</v>
      </c>
      <c r="S19" s="11">
        <v>549</v>
      </c>
      <c r="T19" s="10" t="s">
        <v>124</v>
      </c>
      <c r="U19" s="11">
        <v>334.28</v>
      </c>
      <c r="V19" s="10"/>
      <c r="W19" s="10"/>
      <c r="X19" s="10" t="s">
        <v>70</v>
      </c>
      <c r="Y19" s="11">
        <v>1100</v>
      </c>
      <c r="Z19" s="10" t="s">
        <v>124</v>
      </c>
      <c r="AA19" s="11">
        <v>334.28</v>
      </c>
      <c r="AD19" s="10" t="s">
        <v>125</v>
      </c>
      <c r="AE19" s="10">
        <v>976</v>
      </c>
      <c r="AF19" s="10">
        <v>1000.4</v>
      </c>
    </row>
    <row r="20" spans="1:32" x14ac:dyDescent="0.25">
      <c r="A20" s="10"/>
      <c r="B20" s="10"/>
      <c r="C20" s="10"/>
      <c r="D20" s="10"/>
      <c r="E20" s="22" t="s">
        <v>126</v>
      </c>
      <c r="F20" s="13">
        <v>2341.1799999999998</v>
      </c>
      <c r="I20" s="10"/>
      <c r="J20" s="10"/>
      <c r="K20" s="10"/>
      <c r="L20" s="10"/>
      <c r="M20" s="10"/>
      <c r="N20" s="10"/>
      <c r="O20" s="10"/>
      <c r="P20" s="10"/>
      <c r="Q20" s="10" t="s">
        <v>127</v>
      </c>
      <c r="R20" s="11">
        <v>217.16</v>
      </c>
      <c r="S20" s="11">
        <v>244</v>
      </c>
      <c r="T20" s="10" t="s">
        <v>127</v>
      </c>
      <c r="U20" s="11">
        <v>217.16</v>
      </c>
      <c r="V20" s="10"/>
      <c r="W20" s="10"/>
      <c r="X20" s="10"/>
      <c r="Y20" s="10"/>
      <c r="Z20" s="10" t="s">
        <v>127</v>
      </c>
      <c r="AA20" s="11">
        <v>217.16</v>
      </c>
      <c r="AD20" s="10" t="s">
        <v>128</v>
      </c>
      <c r="AE20" s="10">
        <v>183</v>
      </c>
      <c r="AF20" s="10">
        <v>207.4</v>
      </c>
    </row>
    <row r="21" spans="1:32" x14ac:dyDescent="0.25">
      <c r="B21" s="10"/>
      <c r="C21" s="10"/>
      <c r="D21" s="10"/>
      <c r="E21" s="10" t="s">
        <v>178</v>
      </c>
      <c r="F21" s="13">
        <v>2393.64</v>
      </c>
      <c r="I21" s="10"/>
      <c r="J21" s="10"/>
      <c r="K21" s="10"/>
      <c r="L21" s="10"/>
      <c r="M21" s="10"/>
      <c r="N21" s="10"/>
      <c r="O21" s="10"/>
      <c r="P21" s="10"/>
      <c r="Q21" s="10" t="s">
        <v>130</v>
      </c>
      <c r="R21" s="11">
        <v>1050.42</v>
      </c>
      <c r="S21" s="11">
        <v>1050.42</v>
      </c>
      <c r="T21" s="10" t="s">
        <v>130</v>
      </c>
      <c r="U21" s="11">
        <v>1050.42</v>
      </c>
      <c r="V21" s="10"/>
      <c r="W21" s="10"/>
      <c r="X21" s="10"/>
      <c r="Y21" s="10"/>
      <c r="Z21" s="10" t="s">
        <v>130</v>
      </c>
      <c r="AA21" s="11">
        <v>1050.42</v>
      </c>
      <c r="AB21" s="96"/>
      <c r="AC21" s="96"/>
      <c r="AD21" s="96"/>
      <c r="AE21" s="96"/>
    </row>
    <row r="22" spans="1:32" ht="18" x14ac:dyDescent="0.35">
      <c r="A22" s="10"/>
      <c r="B22" s="10"/>
      <c r="C22" s="10"/>
      <c r="D22" s="10"/>
      <c r="E22" s="10" t="s">
        <v>131</v>
      </c>
      <c r="F22" s="13">
        <v>64.66</v>
      </c>
      <c r="I22" s="10"/>
      <c r="J22" s="10"/>
      <c r="K22" s="10"/>
      <c r="L22" s="10"/>
      <c r="M22" s="10"/>
      <c r="N22" s="10"/>
      <c r="O22" s="10"/>
      <c r="P22" s="10"/>
      <c r="Q22" s="10" t="s">
        <v>132</v>
      </c>
      <c r="R22" s="11">
        <v>485.56</v>
      </c>
      <c r="S22" s="11">
        <v>485.56</v>
      </c>
      <c r="T22" s="10" t="s">
        <v>132</v>
      </c>
      <c r="U22" s="11">
        <v>485.56</v>
      </c>
      <c r="V22" s="10"/>
      <c r="W22" s="10"/>
      <c r="X22" s="10"/>
      <c r="Y22" s="10"/>
      <c r="Z22" s="10" t="s">
        <v>132</v>
      </c>
      <c r="AA22" s="11">
        <v>485.56</v>
      </c>
      <c r="AD22" s="25"/>
    </row>
    <row r="23" spans="1:32" ht="15.75" x14ac:dyDescent="0.3">
      <c r="A23" s="10"/>
      <c r="B23" s="10"/>
      <c r="C23" s="10"/>
      <c r="D23" s="10"/>
      <c r="E23" s="10" t="s">
        <v>133</v>
      </c>
      <c r="F23" s="13">
        <v>124.44</v>
      </c>
      <c r="I23" s="10"/>
      <c r="J23" s="10"/>
      <c r="K23" s="10"/>
      <c r="L23" s="10"/>
      <c r="M23" s="10"/>
      <c r="N23" s="10"/>
      <c r="O23" s="10"/>
      <c r="P23" s="10"/>
      <c r="Q23" s="10" t="s">
        <v>134</v>
      </c>
      <c r="R23" s="11">
        <v>114.68</v>
      </c>
      <c r="S23" s="11">
        <v>152.5</v>
      </c>
      <c r="T23" s="10" t="s">
        <v>134</v>
      </c>
      <c r="U23" s="11">
        <v>114.68</v>
      </c>
      <c r="V23" s="10"/>
      <c r="W23" s="10"/>
      <c r="X23" s="10"/>
      <c r="Y23" s="10"/>
      <c r="Z23" s="10" t="s">
        <v>134</v>
      </c>
      <c r="AA23" s="11">
        <v>114.68</v>
      </c>
      <c r="AD23" s="26"/>
    </row>
    <row r="24" spans="1:32" ht="15.75" x14ac:dyDescent="0.3">
      <c r="A24" s="10"/>
      <c r="B24" s="10"/>
      <c r="C24" s="10"/>
      <c r="D24" s="10"/>
      <c r="E24" s="10" t="s">
        <v>135</v>
      </c>
      <c r="F24" s="13">
        <v>64.66</v>
      </c>
      <c r="I24" s="10"/>
      <c r="J24" s="10"/>
      <c r="K24" s="10"/>
      <c r="L24" s="10"/>
      <c r="M24" s="10"/>
      <c r="N24" s="10"/>
      <c r="O24" s="10"/>
      <c r="P24" s="10"/>
      <c r="Q24" s="10" t="s">
        <v>111</v>
      </c>
      <c r="R24" s="11">
        <v>76.86</v>
      </c>
      <c r="S24" s="11">
        <v>76.86</v>
      </c>
      <c r="T24" s="10" t="s">
        <v>111</v>
      </c>
      <c r="U24" s="11">
        <v>76.86</v>
      </c>
      <c r="V24" s="10"/>
      <c r="W24" s="10"/>
      <c r="X24" s="10"/>
      <c r="Y24" s="10"/>
      <c r="Z24" s="10" t="s">
        <v>111</v>
      </c>
      <c r="AA24" s="11">
        <v>76.86</v>
      </c>
      <c r="AD24" s="27"/>
    </row>
    <row r="25" spans="1:32" x14ac:dyDescent="0.25">
      <c r="A25" s="9"/>
      <c r="B25" s="9"/>
      <c r="C25" s="9"/>
      <c r="D25" s="9"/>
      <c r="E25" s="10" t="s">
        <v>136</v>
      </c>
      <c r="F25" s="13">
        <v>92.72</v>
      </c>
      <c r="I25" s="10"/>
      <c r="J25" s="10"/>
      <c r="K25" s="10"/>
      <c r="L25" s="10"/>
      <c r="M25" s="10"/>
      <c r="N25" s="10"/>
      <c r="O25" s="10"/>
      <c r="P25" s="10"/>
      <c r="Q25" s="10" t="s">
        <v>70</v>
      </c>
      <c r="R25" s="11">
        <v>829.6</v>
      </c>
      <c r="S25" s="11">
        <v>915</v>
      </c>
      <c r="T25" s="10" t="s">
        <v>70</v>
      </c>
      <c r="U25" s="11">
        <v>829.6</v>
      </c>
      <c r="V25" s="10"/>
      <c r="W25" s="10"/>
      <c r="X25" s="10"/>
      <c r="Y25" s="10"/>
      <c r="Z25" s="10" t="s">
        <v>70</v>
      </c>
      <c r="AA25" s="11">
        <v>829.6</v>
      </c>
    </row>
    <row r="26" spans="1:32" x14ac:dyDescent="0.25">
      <c r="E26" s="10" t="s">
        <v>137</v>
      </c>
      <c r="F26" s="13">
        <v>240.34</v>
      </c>
      <c r="Q26" s="10" t="s">
        <v>138</v>
      </c>
      <c r="R26" s="11">
        <v>37</v>
      </c>
      <c r="S26" s="11">
        <v>36.6</v>
      </c>
    </row>
    <row r="27" spans="1:32" x14ac:dyDescent="0.25">
      <c r="E27" s="10" t="s">
        <v>177</v>
      </c>
      <c r="F27" s="13">
        <v>3989.4</v>
      </c>
      <c r="Q27" s="10" t="s">
        <v>139</v>
      </c>
      <c r="R27" s="11">
        <v>39</v>
      </c>
      <c r="S27" s="11">
        <v>56.12</v>
      </c>
    </row>
    <row r="28" spans="1:32" x14ac:dyDescent="0.25">
      <c r="Q28" s="10" t="s">
        <v>140</v>
      </c>
      <c r="R28" s="11">
        <v>28</v>
      </c>
      <c r="S28" s="11">
        <v>36.6</v>
      </c>
    </row>
    <row r="29" spans="1:32" ht="15.75" thickBot="1" x14ac:dyDescent="0.3">
      <c r="Q29" s="10" t="s">
        <v>141</v>
      </c>
      <c r="R29" s="11">
        <v>37</v>
      </c>
      <c r="S29" s="11">
        <v>36.6</v>
      </c>
    </row>
    <row r="30" spans="1:32" ht="15.75" thickBot="1" x14ac:dyDescent="0.3">
      <c r="B30" s="67" t="s">
        <v>183</v>
      </c>
      <c r="C30" s="76">
        <v>1.78</v>
      </c>
      <c r="D30" s="64"/>
      <c r="N30" s="67" t="s">
        <v>182</v>
      </c>
      <c r="O30" s="74">
        <f>AVERAGE(O8:O15)</f>
        <v>15.583044472552219</v>
      </c>
      <c r="Q30" s="10" t="s">
        <v>142</v>
      </c>
      <c r="R30" s="11">
        <v>31</v>
      </c>
      <c r="S30" s="11"/>
    </row>
    <row r="32" spans="1:32" x14ac:dyDescent="0.25">
      <c r="H32" s="49"/>
    </row>
  </sheetData>
  <mergeCells count="12">
    <mergeCell ref="AD6:AE6"/>
    <mergeCell ref="AB21:AE21"/>
    <mergeCell ref="N3:P3"/>
    <mergeCell ref="AB5:AC5"/>
    <mergeCell ref="A6:B6"/>
    <mergeCell ref="E6:F6"/>
    <mergeCell ref="G6:H6"/>
    <mergeCell ref="I6:J6"/>
    <mergeCell ref="K6:L6"/>
    <mergeCell ref="Q6:R6"/>
    <mergeCell ref="Z6:AA6"/>
    <mergeCell ref="AB6:AC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95A5-9F9C-4153-9B1B-B95DCF78EFA3}">
  <dimension ref="A1:AC32"/>
  <sheetViews>
    <sheetView workbookViewId="0">
      <selection activeCell="D21" sqref="D21"/>
    </sheetView>
  </sheetViews>
  <sheetFormatPr baseColWidth="10" defaultColWidth="9.140625" defaultRowHeight="15" x14ac:dyDescent="0.25"/>
  <cols>
    <col min="1" max="1" width="29.5703125" customWidth="1"/>
    <col min="2" max="2" width="15.42578125" customWidth="1"/>
    <col min="3" max="4" width="34.5703125" customWidth="1"/>
    <col min="5" max="5" width="26.85546875" customWidth="1"/>
    <col min="6" max="6" width="22.7109375" customWidth="1"/>
    <col min="7" max="7" width="18.85546875" customWidth="1"/>
    <col min="8" max="8" width="20.7109375" customWidth="1"/>
    <col min="9" max="9" width="21.28515625" customWidth="1"/>
    <col min="10" max="10" width="25.85546875" customWidth="1"/>
    <col min="11" max="11" width="17.5703125" customWidth="1"/>
    <col min="12" max="12" width="43.85546875" customWidth="1"/>
    <col min="13" max="13" width="14.85546875" customWidth="1"/>
    <col min="14" max="14" width="33" customWidth="1"/>
    <col min="15" max="15" width="13.28515625" customWidth="1"/>
    <col min="16" max="16" width="12.5703125" customWidth="1"/>
    <col min="17" max="17" width="24.140625" customWidth="1"/>
    <col min="18" max="18" width="15.85546875" customWidth="1"/>
    <col min="19" max="19" width="24.140625" customWidth="1"/>
    <col min="20" max="20" width="11.140625" customWidth="1"/>
    <col min="21" max="21" width="21.28515625" customWidth="1"/>
    <col min="22" max="22" width="18.140625" customWidth="1"/>
    <col min="23" max="23" width="23.28515625" customWidth="1"/>
    <col min="24" max="24" width="19.140625" customWidth="1"/>
    <col min="25" max="25" width="19.28515625" customWidth="1"/>
    <col min="26" max="26" width="14.85546875" customWidth="1"/>
    <col min="27" max="27" width="25.7109375" customWidth="1"/>
    <col min="28" max="28" width="16.42578125" customWidth="1"/>
    <col min="29" max="29" width="14.85546875" customWidth="1"/>
  </cols>
  <sheetData>
    <row r="1" spans="1:29" x14ac:dyDescent="0.25">
      <c r="A1" s="3" t="s">
        <v>0</v>
      </c>
      <c r="B1" s="3"/>
    </row>
    <row r="3" spans="1:29" ht="15.75" thickBot="1" x14ac:dyDescent="0.3">
      <c r="A3" s="2" t="s">
        <v>1</v>
      </c>
      <c r="B3" s="29"/>
      <c r="C3" s="2" t="s">
        <v>1</v>
      </c>
      <c r="D3" s="29"/>
      <c r="E3" s="32">
        <v>0.4</v>
      </c>
      <c r="F3" s="2" t="s">
        <v>1</v>
      </c>
      <c r="G3" s="51">
        <v>0.25</v>
      </c>
      <c r="H3" s="29" t="s">
        <v>1</v>
      </c>
      <c r="I3" s="4" t="s">
        <v>2</v>
      </c>
      <c r="J3" s="2" t="s">
        <v>1</v>
      </c>
      <c r="K3" s="4">
        <v>1</v>
      </c>
      <c r="L3" s="2" t="s">
        <v>1</v>
      </c>
      <c r="M3" s="4" t="s">
        <v>2</v>
      </c>
      <c r="N3" s="2" t="s">
        <v>1</v>
      </c>
      <c r="O3" s="29"/>
      <c r="P3" s="4">
        <v>0.25</v>
      </c>
      <c r="Q3" s="2" t="s">
        <v>1</v>
      </c>
      <c r="R3" s="8" t="s">
        <v>2</v>
      </c>
      <c r="S3" s="2" t="s">
        <v>1</v>
      </c>
      <c r="T3" s="4">
        <v>1</v>
      </c>
      <c r="U3" s="2" t="s">
        <v>1</v>
      </c>
      <c r="V3" s="8" t="s">
        <v>2</v>
      </c>
      <c r="W3" s="2" t="s">
        <v>1</v>
      </c>
      <c r="X3" s="8" t="s">
        <v>2</v>
      </c>
      <c r="Y3" s="2" t="s">
        <v>1</v>
      </c>
      <c r="Z3" s="8" t="s">
        <v>2</v>
      </c>
      <c r="AA3" s="2" t="s">
        <v>1</v>
      </c>
      <c r="AB3" s="28" t="s">
        <v>2</v>
      </c>
    </row>
    <row r="4" spans="1:29" ht="15.75" thickBot="1" x14ac:dyDescent="0.3">
      <c r="A4" s="1" t="s">
        <v>3</v>
      </c>
      <c r="B4" s="59"/>
      <c r="F4" s="38"/>
    </row>
    <row r="5" spans="1:29" ht="15.75" thickBot="1" x14ac:dyDescent="0.3">
      <c r="A5" s="2" t="s">
        <v>4</v>
      </c>
      <c r="B5" s="29" t="s">
        <v>5</v>
      </c>
      <c r="C5" s="2" t="s">
        <v>4</v>
      </c>
      <c r="D5" s="29"/>
      <c r="E5" s="29" t="s">
        <v>6</v>
      </c>
      <c r="F5" s="2" t="s">
        <v>4</v>
      </c>
      <c r="G5" s="7" t="s">
        <v>7</v>
      </c>
      <c r="H5" s="29" t="s">
        <v>4</v>
      </c>
      <c r="I5" s="7" t="s">
        <v>8</v>
      </c>
      <c r="J5" s="2" t="s">
        <v>4</v>
      </c>
      <c r="K5" s="7" t="s">
        <v>8</v>
      </c>
      <c r="L5" s="2" t="s">
        <v>9</v>
      </c>
      <c r="M5" s="7" t="s">
        <v>8</v>
      </c>
      <c r="N5" s="2" t="s">
        <v>4</v>
      </c>
      <c r="O5" s="29"/>
      <c r="P5" s="7" t="s">
        <v>10</v>
      </c>
      <c r="Q5" s="2" t="s">
        <v>11</v>
      </c>
      <c r="R5" s="7" t="s">
        <v>8</v>
      </c>
      <c r="S5" s="2" t="s">
        <v>4</v>
      </c>
      <c r="T5" s="7" t="s">
        <v>8</v>
      </c>
      <c r="U5" s="2" t="s">
        <v>12</v>
      </c>
      <c r="V5" s="7" t="s">
        <v>8</v>
      </c>
      <c r="W5" s="2" t="s">
        <v>13</v>
      </c>
      <c r="X5" s="7" t="s">
        <v>8</v>
      </c>
      <c r="Y5" s="101" t="s">
        <v>14</v>
      </c>
      <c r="Z5" s="102"/>
      <c r="AA5" s="23" t="s">
        <v>4</v>
      </c>
      <c r="AB5" s="24"/>
    </row>
    <row r="6" spans="1:29" x14ac:dyDescent="0.25">
      <c r="A6" s="107" t="s">
        <v>15</v>
      </c>
      <c r="B6" s="107"/>
      <c r="C6" s="105" t="s">
        <v>16</v>
      </c>
      <c r="D6" s="105"/>
      <c r="E6" s="105"/>
      <c r="F6" s="106" t="s">
        <v>17</v>
      </c>
      <c r="G6" s="105"/>
      <c r="H6" s="95" t="s">
        <v>18</v>
      </c>
      <c r="I6" s="95"/>
      <c r="J6" s="105" t="s">
        <v>19</v>
      </c>
      <c r="K6" s="105"/>
      <c r="L6" s="17" t="s">
        <v>20</v>
      </c>
      <c r="M6" s="17"/>
      <c r="N6" s="95" t="s">
        <v>21</v>
      </c>
      <c r="O6" s="95"/>
      <c r="P6" s="17"/>
      <c r="Q6" s="17" t="s">
        <v>22</v>
      </c>
      <c r="R6" s="17"/>
      <c r="S6" s="17" t="s">
        <v>23</v>
      </c>
      <c r="T6" s="17"/>
      <c r="U6" s="17" t="s">
        <v>24</v>
      </c>
      <c r="V6" s="17"/>
      <c r="W6" s="95" t="s">
        <v>25</v>
      </c>
      <c r="X6" s="95"/>
      <c r="Y6" s="95" t="s">
        <v>26</v>
      </c>
      <c r="Z6" s="95"/>
      <c r="AA6" s="95" t="s">
        <v>27</v>
      </c>
      <c r="AB6" s="95"/>
    </row>
    <row r="7" spans="1:29" x14ac:dyDescent="0.25">
      <c r="A7" s="9" t="s">
        <v>28</v>
      </c>
      <c r="B7" s="9" t="s">
        <v>29</v>
      </c>
      <c r="C7" s="9" t="s">
        <v>28</v>
      </c>
      <c r="D7" s="33" t="s">
        <v>30</v>
      </c>
      <c r="E7" s="33" t="s">
        <v>176</v>
      </c>
      <c r="F7" s="40" t="s">
        <v>28</v>
      </c>
      <c r="G7" s="53" t="s">
        <v>30</v>
      </c>
      <c r="H7" s="36" t="s">
        <v>28</v>
      </c>
      <c r="I7" s="12" t="s">
        <v>30</v>
      </c>
      <c r="J7" s="9" t="s">
        <v>28</v>
      </c>
      <c r="K7" s="9" t="s">
        <v>30</v>
      </c>
      <c r="L7" s="9" t="s">
        <v>28</v>
      </c>
      <c r="M7" s="9" t="s">
        <v>31</v>
      </c>
      <c r="N7" s="9" t="s">
        <v>28</v>
      </c>
      <c r="O7" s="9" t="s">
        <v>31</v>
      </c>
      <c r="P7" s="63" t="s">
        <v>29</v>
      </c>
      <c r="Q7" s="9" t="s">
        <v>28</v>
      </c>
      <c r="R7" s="9" t="s">
        <v>31</v>
      </c>
      <c r="S7" s="9" t="s">
        <v>28</v>
      </c>
      <c r="T7" s="9" t="s">
        <v>31</v>
      </c>
      <c r="U7" s="9" t="s">
        <v>28</v>
      </c>
      <c r="V7" s="9" t="s">
        <v>31</v>
      </c>
      <c r="W7" s="9" t="s">
        <v>28</v>
      </c>
      <c r="X7" s="9" t="s">
        <v>31</v>
      </c>
      <c r="Y7" s="9" t="s">
        <v>32</v>
      </c>
      <c r="Z7" s="9" t="s">
        <v>33</v>
      </c>
      <c r="AA7" s="9" t="s">
        <v>32</v>
      </c>
      <c r="AB7" s="9" t="s">
        <v>34</v>
      </c>
      <c r="AC7" s="9" t="s">
        <v>35</v>
      </c>
    </row>
    <row r="8" spans="1:29" x14ac:dyDescent="0.25">
      <c r="A8" s="10" t="s">
        <v>36</v>
      </c>
      <c r="B8" s="11">
        <v>285.2</v>
      </c>
      <c r="C8" s="10" t="s">
        <v>37</v>
      </c>
      <c r="D8" s="34">
        <v>132.97999999999999</v>
      </c>
      <c r="E8" s="71">
        <v>145.18</v>
      </c>
      <c r="F8" s="41" t="s">
        <v>38</v>
      </c>
      <c r="G8" s="52">
        <v>100</v>
      </c>
      <c r="H8" s="37" t="s">
        <v>39</v>
      </c>
      <c r="I8" s="13">
        <v>103.7</v>
      </c>
      <c r="J8" s="10" t="s">
        <v>40</v>
      </c>
      <c r="K8" s="11">
        <v>128.1</v>
      </c>
      <c r="L8" s="10" t="s">
        <v>41</v>
      </c>
      <c r="M8" s="11">
        <v>103.7</v>
      </c>
      <c r="N8" s="10" t="s">
        <v>42</v>
      </c>
      <c r="O8" s="11">
        <v>86.62</v>
      </c>
      <c r="P8" s="11">
        <v>97.6</v>
      </c>
      <c r="Q8" s="10" t="s">
        <v>42</v>
      </c>
      <c r="R8" s="11">
        <v>86.62</v>
      </c>
      <c r="S8" s="10" t="s">
        <v>43</v>
      </c>
      <c r="T8" s="11">
        <v>90</v>
      </c>
      <c r="U8" s="10" t="s">
        <v>43</v>
      </c>
      <c r="V8" s="11">
        <v>97.6</v>
      </c>
      <c r="W8" s="10" t="s">
        <v>42</v>
      </c>
      <c r="X8" s="11">
        <v>86.62</v>
      </c>
      <c r="Y8" s="10" t="s">
        <v>39</v>
      </c>
      <c r="Z8" s="10">
        <v>122</v>
      </c>
      <c r="AA8" s="10" t="s">
        <v>44</v>
      </c>
      <c r="AB8" s="10">
        <v>87.84</v>
      </c>
      <c r="AC8" s="10">
        <v>112.24</v>
      </c>
    </row>
    <row r="9" spans="1:29" x14ac:dyDescent="0.25">
      <c r="A9" s="10" t="s">
        <v>45</v>
      </c>
      <c r="B9" s="11">
        <v>398.73</v>
      </c>
      <c r="C9" s="10" t="s">
        <v>46</v>
      </c>
      <c r="D9" s="34">
        <v>179.34</v>
      </c>
      <c r="E9" s="71">
        <v>196.42</v>
      </c>
      <c r="F9" s="41" t="s">
        <v>47</v>
      </c>
      <c r="G9" s="52">
        <v>60</v>
      </c>
      <c r="H9" s="37" t="s">
        <v>48</v>
      </c>
      <c r="I9" s="13">
        <v>140.30000000000001</v>
      </c>
      <c r="J9" s="10" t="s">
        <v>49</v>
      </c>
      <c r="K9" s="11">
        <v>103.7</v>
      </c>
      <c r="L9" s="10" t="s">
        <v>50</v>
      </c>
      <c r="M9" s="11">
        <v>146.4</v>
      </c>
      <c r="N9" s="10" t="s">
        <v>51</v>
      </c>
      <c r="O9" s="11">
        <v>129.32</v>
      </c>
      <c r="P9" s="11">
        <v>146.4</v>
      </c>
      <c r="Q9" s="10" t="s">
        <v>51</v>
      </c>
      <c r="R9" s="11">
        <v>129.32</v>
      </c>
      <c r="S9" s="10" t="s">
        <v>52</v>
      </c>
      <c r="T9" s="11">
        <v>90</v>
      </c>
      <c r="U9" s="10" t="s">
        <v>39</v>
      </c>
      <c r="V9" s="11">
        <v>73.2</v>
      </c>
      <c r="W9" s="10" t="s">
        <v>51</v>
      </c>
      <c r="X9" s="11">
        <v>129.32</v>
      </c>
      <c r="Y9" s="10" t="s">
        <v>48</v>
      </c>
      <c r="Z9" s="10">
        <v>146.4</v>
      </c>
      <c r="AA9" s="10" t="s">
        <v>53</v>
      </c>
      <c r="AB9" s="10">
        <v>106.14</v>
      </c>
      <c r="AC9" s="10">
        <v>130.54</v>
      </c>
    </row>
    <row r="10" spans="1:29" x14ac:dyDescent="0.25">
      <c r="A10" s="10" t="s">
        <v>54</v>
      </c>
      <c r="B10" s="11">
        <v>427.81</v>
      </c>
      <c r="C10" s="10" t="s">
        <v>54</v>
      </c>
      <c r="D10" s="34">
        <v>463.6</v>
      </c>
      <c r="E10" s="71">
        <v>506.3</v>
      </c>
      <c r="F10" s="41" t="s">
        <v>55</v>
      </c>
      <c r="G10" s="52">
        <v>90</v>
      </c>
      <c r="H10" s="37" t="s">
        <v>56</v>
      </c>
      <c r="I10" s="13">
        <v>280.60000000000002</v>
      </c>
      <c r="J10" s="10" t="s">
        <v>57</v>
      </c>
      <c r="K10" s="11">
        <v>103.7</v>
      </c>
      <c r="L10" s="10" t="s">
        <v>58</v>
      </c>
      <c r="M10" s="11">
        <v>305</v>
      </c>
      <c r="N10" s="10" t="s">
        <v>59</v>
      </c>
      <c r="O10" s="11">
        <v>167.14</v>
      </c>
      <c r="P10" s="11">
        <v>219.6</v>
      </c>
      <c r="Q10" s="10" t="s">
        <v>59</v>
      </c>
      <c r="R10" s="11">
        <v>167.14</v>
      </c>
      <c r="S10" s="10" t="s">
        <v>60</v>
      </c>
      <c r="T10" s="11">
        <v>100</v>
      </c>
      <c r="U10" s="10" t="s">
        <v>48</v>
      </c>
      <c r="V10" s="11">
        <v>85.4</v>
      </c>
      <c r="W10" s="10" t="s">
        <v>59</v>
      </c>
      <c r="X10" s="11">
        <v>167.14</v>
      </c>
      <c r="Y10" s="10" t="s">
        <v>56</v>
      </c>
      <c r="Z10" s="10">
        <v>427</v>
      </c>
      <c r="AA10" s="10" t="s">
        <v>61</v>
      </c>
      <c r="AB10" s="10">
        <v>231.79999999999998</v>
      </c>
      <c r="AC10" s="10">
        <v>256.2</v>
      </c>
    </row>
    <row r="11" spans="1:29" x14ac:dyDescent="0.25">
      <c r="A11" s="10" t="s">
        <v>62</v>
      </c>
      <c r="B11" s="11">
        <v>1427.4</v>
      </c>
      <c r="C11" s="10" t="s">
        <v>63</v>
      </c>
      <c r="D11" s="34">
        <v>1018.7</v>
      </c>
      <c r="E11" s="71">
        <v>1111.42</v>
      </c>
      <c r="F11" s="41" t="s">
        <v>57</v>
      </c>
      <c r="G11" s="52">
        <v>120</v>
      </c>
      <c r="H11" s="37" t="s">
        <v>64</v>
      </c>
      <c r="I11" s="13">
        <v>225.7</v>
      </c>
      <c r="J11" s="10" t="s">
        <v>65</v>
      </c>
      <c r="K11" s="11">
        <v>115.9</v>
      </c>
      <c r="L11" s="10" t="s">
        <v>66</v>
      </c>
      <c r="M11" s="11">
        <v>829.6</v>
      </c>
      <c r="N11" s="10" t="s">
        <v>67</v>
      </c>
      <c r="O11" s="11">
        <v>86.62</v>
      </c>
      <c r="P11" s="11">
        <v>97.6</v>
      </c>
      <c r="Q11" s="10" t="s">
        <v>67</v>
      </c>
      <c r="R11" s="11">
        <v>86.62</v>
      </c>
      <c r="S11" s="10" t="s">
        <v>56</v>
      </c>
      <c r="T11" s="11">
        <v>200</v>
      </c>
      <c r="U11" s="10" t="s">
        <v>56</v>
      </c>
      <c r="V11" s="11">
        <v>183</v>
      </c>
      <c r="W11" s="10" t="s">
        <v>67</v>
      </c>
      <c r="X11" s="11">
        <v>86.62</v>
      </c>
      <c r="Y11" s="10" t="s">
        <v>68</v>
      </c>
      <c r="Z11" s="10">
        <v>488</v>
      </c>
      <c r="AA11" s="10" t="s">
        <v>69</v>
      </c>
      <c r="AB11" s="10">
        <v>463.59999999999997</v>
      </c>
      <c r="AC11" s="10">
        <v>488</v>
      </c>
    </row>
    <row r="12" spans="1:29" x14ac:dyDescent="0.25">
      <c r="A12" s="10" t="s">
        <v>70</v>
      </c>
      <c r="B12" s="11">
        <v>2035.2</v>
      </c>
      <c r="C12" s="10" t="s">
        <v>71</v>
      </c>
      <c r="D12" s="34">
        <v>1683.6</v>
      </c>
      <c r="E12" s="14">
        <v>1836.1</v>
      </c>
      <c r="F12" s="37" t="s">
        <v>72</v>
      </c>
      <c r="G12" s="52">
        <v>200</v>
      </c>
      <c r="H12" s="37" t="s">
        <v>73</v>
      </c>
      <c r="I12" s="13">
        <v>622.20000000000005</v>
      </c>
      <c r="J12" s="10" t="s">
        <v>58</v>
      </c>
      <c r="K12" s="11">
        <v>244</v>
      </c>
      <c r="L12" s="10" t="s">
        <v>74</v>
      </c>
      <c r="M12" s="11">
        <v>1018.7</v>
      </c>
      <c r="N12" s="10" t="s">
        <v>75</v>
      </c>
      <c r="O12" s="11">
        <v>114.68</v>
      </c>
      <c r="P12" s="11">
        <v>152.5</v>
      </c>
      <c r="Q12" s="10" t="s">
        <v>75</v>
      </c>
      <c r="R12" s="11">
        <v>114.68</v>
      </c>
      <c r="S12" s="10" t="s">
        <v>76</v>
      </c>
      <c r="T12" s="11">
        <v>180</v>
      </c>
      <c r="U12" s="10" t="s">
        <v>77</v>
      </c>
      <c r="V12" s="11">
        <v>610</v>
      </c>
      <c r="W12" s="10" t="s">
        <v>75</v>
      </c>
      <c r="X12" s="11">
        <v>114.68</v>
      </c>
      <c r="Y12" s="10" t="s">
        <v>78</v>
      </c>
      <c r="Z12" s="10">
        <v>1098</v>
      </c>
      <c r="AA12" s="10" t="s">
        <v>79</v>
      </c>
      <c r="AB12" s="10">
        <v>829.6</v>
      </c>
      <c r="AC12" s="10">
        <v>854</v>
      </c>
    </row>
    <row r="13" spans="1:29" x14ac:dyDescent="0.25">
      <c r="A13" s="10" t="s">
        <v>80</v>
      </c>
      <c r="B13" s="11">
        <v>182.75</v>
      </c>
      <c r="C13" s="18" t="s">
        <v>81</v>
      </c>
      <c r="D13" s="35">
        <v>4026</v>
      </c>
      <c r="E13" s="14">
        <v>3989.4</v>
      </c>
      <c r="F13" s="37" t="s">
        <v>82</v>
      </c>
      <c r="G13" s="52">
        <v>200</v>
      </c>
      <c r="H13" s="37" t="s">
        <v>83</v>
      </c>
      <c r="I13" s="13">
        <v>969.9</v>
      </c>
      <c r="J13" s="10" t="s">
        <v>84</v>
      </c>
      <c r="K13" s="11">
        <v>134.19999999999999</v>
      </c>
      <c r="L13" s="10" t="s">
        <v>40</v>
      </c>
      <c r="M13" s="11">
        <v>146.4</v>
      </c>
      <c r="N13" s="10" t="s">
        <v>85</v>
      </c>
      <c r="O13" s="11">
        <v>86.62</v>
      </c>
      <c r="P13" s="11">
        <v>97.6</v>
      </c>
      <c r="Q13" s="10" t="s">
        <v>85</v>
      </c>
      <c r="R13" s="11">
        <v>86.62</v>
      </c>
      <c r="S13" s="10" t="s">
        <v>78</v>
      </c>
      <c r="T13" s="11">
        <v>445</v>
      </c>
      <c r="U13" s="10" t="s">
        <v>78</v>
      </c>
      <c r="V13" s="11">
        <v>366</v>
      </c>
      <c r="W13" s="10" t="s">
        <v>85</v>
      </c>
      <c r="X13" s="11">
        <v>86.62</v>
      </c>
      <c r="Y13" s="10" t="s">
        <v>86</v>
      </c>
      <c r="Z13" s="10">
        <v>1586</v>
      </c>
      <c r="AA13" s="10" t="s">
        <v>87</v>
      </c>
      <c r="AB13" s="10">
        <v>1000.4</v>
      </c>
      <c r="AC13" s="10">
        <v>1024.8</v>
      </c>
    </row>
    <row r="14" spans="1:29" x14ac:dyDescent="0.25">
      <c r="A14" s="10" t="s">
        <v>88</v>
      </c>
      <c r="B14" s="11">
        <v>365.51</v>
      </c>
      <c r="C14" s="10" t="s">
        <v>89</v>
      </c>
      <c r="D14" s="34">
        <v>231.8</v>
      </c>
      <c r="E14" s="14">
        <v>253.76</v>
      </c>
      <c r="F14" s="37" t="s">
        <v>83</v>
      </c>
      <c r="G14" s="52">
        <v>650</v>
      </c>
      <c r="H14" s="37" t="s">
        <v>40</v>
      </c>
      <c r="I14" s="13">
        <v>176.9</v>
      </c>
      <c r="J14" s="10" t="s">
        <v>70</v>
      </c>
      <c r="K14" s="11">
        <v>976</v>
      </c>
      <c r="L14" s="10" t="s">
        <v>90</v>
      </c>
      <c r="M14" s="11">
        <v>134.19999999999999</v>
      </c>
      <c r="N14" s="10" t="s">
        <v>91</v>
      </c>
      <c r="O14" s="11">
        <v>1493.28</v>
      </c>
      <c r="P14" s="11">
        <v>1342</v>
      </c>
      <c r="Q14" s="10" t="s">
        <v>91</v>
      </c>
      <c r="R14" s="11">
        <v>1493.28</v>
      </c>
      <c r="S14" s="10" t="s">
        <v>77</v>
      </c>
      <c r="T14" s="11">
        <v>665</v>
      </c>
      <c r="U14" s="10" t="s">
        <v>40</v>
      </c>
      <c r="V14" s="11">
        <v>97.6</v>
      </c>
      <c r="W14" s="10" t="s">
        <v>91</v>
      </c>
      <c r="X14" s="11">
        <v>1493.28</v>
      </c>
      <c r="Y14" s="10" t="s">
        <v>92</v>
      </c>
      <c r="Z14" s="10">
        <v>128.1</v>
      </c>
      <c r="AA14" s="10" t="s">
        <v>93</v>
      </c>
      <c r="AB14" s="10">
        <v>146.4</v>
      </c>
      <c r="AC14" s="10">
        <v>195.2</v>
      </c>
    </row>
    <row r="15" spans="1:29" x14ac:dyDescent="0.25">
      <c r="A15" s="10" t="s">
        <v>94</v>
      </c>
      <c r="B15" s="11">
        <v>267.2</v>
      </c>
      <c r="C15" s="10" t="s">
        <v>95</v>
      </c>
      <c r="D15" s="34">
        <v>308.66000000000003</v>
      </c>
      <c r="E15" s="14">
        <v>336.72</v>
      </c>
      <c r="F15" s="37" t="s">
        <v>70</v>
      </c>
      <c r="G15" s="52">
        <v>550</v>
      </c>
      <c r="H15" s="37" t="s">
        <v>96</v>
      </c>
      <c r="I15" s="13">
        <v>683.2</v>
      </c>
      <c r="J15" s="10" t="s">
        <v>97</v>
      </c>
      <c r="K15" s="11">
        <v>634.4</v>
      </c>
      <c r="L15" s="10" t="s">
        <v>98</v>
      </c>
      <c r="M15" s="11">
        <v>134.19999999999999</v>
      </c>
      <c r="N15" s="10" t="s">
        <v>99</v>
      </c>
      <c r="O15" s="11">
        <v>101.26</v>
      </c>
      <c r="P15" s="11">
        <v>122</v>
      </c>
      <c r="Q15" s="10" t="s">
        <v>99</v>
      </c>
      <c r="R15" s="11">
        <v>101.26</v>
      </c>
      <c r="S15" s="10" t="s">
        <v>100</v>
      </c>
      <c r="T15" s="11">
        <v>85</v>
      </c>
      <c r="U15" s="10"/>
      <c r="V15" s="10"/>
      <c r="W15" s="10" t="s">
        <v>99</v>
      </c>
      <c r="X15" s="11">
        <v>101.26</v>
      </c>
      <c r="Y15" s="10" t="s">
        <v>101</v>
      </c>
      <c r="Z15" s="10">
        <v>213.5</v>
      </c>
      <c r="AA15" s="10" t="s">
        <v>102</v>
      </c>
      <c r="AB15" s="10">
        <v>195.2</v>
      </c>
      <c r="AC15" s="10">
        <v>219.6</v>
      </c>
    </row>
    <row r="16" spans="1:29" x14ac:dyDescent="0.25">
      <c r="A16" s="10" t="s">
        <v>103</v>
      </c>
      <c r="B16" s="11">
        <v>354.43</v>
      </c>
      <c r="C16" s="10" t="s">
        <v>104</v>
      </c>
      <c r="D16" s="34">
        <v>231.8</v>
      </c>
      <c r="E16" s="14">
        <v>253.76</v>
      </c>
      <c r="F16" s="37" t="s">
        <v>105</v>
      </c>
      <c r="G16" s="52">
        <v>150</v>
      </c>
      <c r="H16" s="37" t="s">
        <v>43</v>
      </c>
      <c r="I16" s="13">
        <v>122</v>
      </c>
      <c r="J16" s="10" t="s">
        <v>106</v>
      </c>
      <c r="K16" s="11">
        <v>1024.8</v>
      </c>
      <c r="L16" s="10"/>
      <c r="M16" s="10"/>
      <c r="N16" s="10" t="s">
        <v>107</v>
      </c>
      <c r="O16" s="11">
        <v>86.62</v>
      </c>
      <c r="P16" s="11">
        <v>97.6</v>
      </c>
      <c r="Q16" s="10" t="s">
        <v>107</v>
      </c>
      <c r="R16" s="11">
        <v>86.62</v>
      </c>
      <c r="S16" s="10" t="s">
        <v>108</v>
      </c>
      <c r="T16" s="11">
        <v>125</v>
      </c>
      <c r="U16" s="10"/>
      <c r="V16" s="10"/>
      <c r="W16" s="10" t="s">
        <v>107</v>
      </c>
      <c r="X16" s="11">
        <v>86.62</v>
      </c>
      <c r="Y16" s="10" t="s">
        <v>109</v>
      </c>
      <c r="Z16" s="10">
        <v>1037</v>
      </c>
      <c r="AA16" s="10" t="s">
        <v>110</v>
      </c>
      <c r="AB16" s="10">
        <v>268.39999999999998</v>
      </c>
      <c r="AC16" s="10">
        <v>292.8</v>
      </c>
    </row>
    <row r="17" spans="1:29" ht="15.75" thickBot="1" x14ac:dyDescent="0.3">
      <c r="A17" s="10"/>
      <c r="B17" s="65"/>
      <c r="C17" s="10" t="s">
        <v>111</v>
      </c>
      <c r="D17" s="34">
        <v>113.46</v>
      </c>
      <c r="E17" s="14">
        <v>124.44</v>
      </c>
      <c r="F17" s="70"/>
      <c r="G17" s="46"/>
      <c r="H17" s="37"/>
      <c r="I17" s="10"/>
      <c r="J17" s="10" t="s">
        <v>112</v>
      </c>
      <c r="K17" s="11">
        <v>1207.8</v>
      </c>
      <c r="L17" s="10"/>
      <c r="M17" s="10"/>
      <c r="N17" s="10" t="s">
        <v>113</v>
      </c>
      <c r="O17" s="11">
        <v>212.28</v>
      </c>
      <c r="P17" s="11">
        <v>233.5</v>
      </c>
      <c r="Q17" s="10" t="s">
        <v>114</v>
      </c>
      <c r="R17" s="11">
        <v>212.28</v>
      </c>
      <c r="S17" s="10" t="s">
        <v>115</v>
      </c>
      <c r="T17" s="11">
        <v>100</v>
      </c>
      <c r="U17" s="10"/>
      <c r="V17" s="10"/>
      <c r="W17" s="10" t="s">
        <v>114</v>
      </c>
      <c r="X17" s="11">
        <v>212.28</v>
      </c>
      <c r="Y17" s="10" t="s">
        <v>104</v>
      </c>
      <c r="Z17" s="10">
        <v>152.5</v>
      </c>
      <c r="AA17" s="10" t="s">
        <v>116</v>
      </c>
      <c r="AB17" s="10">
        <v>183</v>
      </c>
      <c r="AC17" s="10">
        <v>207.4</v>
      </c>
    </row>
    <row r="18" spans="1:29" x14ac:dyDescent="0.25">
      <c r="A18" s="10"/>
      <c r="B18" s="10"/>
      <c r="C18" s="10" t="s">
        <v>70</v>
      </c>
      <c r="D18" s="11">
        <v>1244.4000000000001</v>
      </c>
      <c r="E18" s="14">
        <v>1356.64</v>
      </c>
      <c r="H18" s="10"/>
      <c r="I18" s="10"/>
      <c r="J18" s="10" t="s">
        <v>117</v>
      </c>
      <c r="K18" s="11">
        <v>3416</v>
      </c>
      <c r="L18" s="10"/>
      <c r="M18" s="10"/>
      <c r="N18" s="10" t="s">
        <v>118</v>
      </c>
      <c r="O18" s="11">
        <v>668.56</v>
      </c>
      <c r="P18" s="11">
        <v>1098</v>
      </c>
      <c r="Q18" s="10" t="s">
        <v>119</v>
      </c>
      <c r="R18" s="11">
        <v>668.56</v>
      </c>
      <c r="S18" s="10" t="s">
        <v>70</v>
      </c>
      <c r="T18" s="11">
        <v>600</v>
      </c>
      <c r="U18" s="10"/>
      <c r="V18" s="10"/>
      <c r="W18" s="10" t="s">
        <v>119</v>
      </c>
      <c r="X18" s="11">
        <v>668.56</v>
      </c>
      <c r="Y18" s="10" t="s">
        <v>120</v>
      </c>
      <c r="Z18" s="10">
        <v>152.5</v>
      </c>
      <c r="AA18" s="10" t="s">
        <v>121</v>
      </c>
      <c r="AB18" s="10">
        <v>244</v>
      </c>
      <c r="AC18" s="10">
        <v>268.39999999999998</v>
      </c>
    </row>
    <row r="19" spans="1:29" x14ac:dyDescent="0.25">
      <c r="A19" s="10" t="s">
        <v>122</v>
      </c>
      <c r="B19" s="10"/>
      <c r="C19" s="10" t="s">
        <v>43</v>
      </c>
      <c r="D19" s="11">
        <v>164.7</v>
      </c>
      <c r="E19" s="14">
        <v>180.56</v>
      </c>
      <c r="H19" s="10"/>
      <c r="I19" s="9"/>
      <c r="J19" s="10"/>
      <c r="K19" s="10"/>
      <c r="L19" s="10"/>
      <c r="M19" s="10"/>
      <c r="N19" s="10" t="s">
        <v>123</v>
      </c>
      <c r="O19" s="11">
        <v>334.28</v>
      </c>
      <c r="P19" s="11">
        <v>549</v>
      </c>
      <c r="Q19" s="10" t="s">
        <v>124</v>
      </c>
      <c r="R19" s="11">
        <v>334.28</v>
      </c>
      <c r="S19" s="10"/>
      <c r="T19" s="10"/>
      <c r="U19" s="10"/>
      <c r="V19" s="10"/>
      <c r="W19" s="10" t="s">
        <v>124</v>
      </c>
      <c r="X19" s="11">
        <v>334.28</v>
      </c>
      <c r="AA19" s="10" t="s">
        <v>125</v>
      </c>
      <c r="AB19" s="10">
        <v>976</v>
      </c>
      <c r="AC19" s="10">
        <v>1000.4</v>
      </c>
    </row>
    <row r="20" spans="1:29" x14ac:dyDescent="0.25">
      <c r="A20" s="10"/>
      <c r="B20" s="10"/>
      <c r="C20" s="22" t="s">
        <v>126</v>
      </c>
      <c r="D20" s="13">
        <v>2147.1999999999998</v>
      </c>
      <c r="E20" s="14">
        <v>2341.1799999999998</v>
      </c>
      <c r="H20" s="10"/>
      <c r="I20" s="10"/>
      <c r="J20" s="10"/>
      <c r="K20" s="10"/>
      <c r="L20" s="10"/>
      <c r="M20" s="10"/>
      <c r="N20" s="10" t="s">
        <v>127</v>
      </c>
      <c r="O20" s="11">
        <v>217.16</v>
      </c>
      <c r="P20" s="11">
        <v>244</v>
      </c>
      <c r="Q20" s="10" t="s">
        <v>127</v>
      </c>
      <c r="R20" s="11">
        <v>217.16</v>
      </c>
      <c r="S20" s="10"/>
      <c r="T20" s="10"/>
      <c r="U20" s="10"/>
      <c r="V20" s="10"/>
      <c r="W20" s="10" t="s">
        <v>127</v>
      </c>
      <c r="X20" s="11">
        <v>217.16</v>
      </c>
      <c r="AA20" s="10" t="s">
        <v>128</v>
      </c>
      <c r="AB20" s="10">
        <v>183</v>
      </c>
      <c r="AC20" s="10">
        <v>207.4</v>
      </c>
    </row>
    <row r="21" spans="1:29" x14ac:dyDescent="0.25">
      <c r="B21" s="10"/>
      <c r="C21" s="22" t="s">
        <v>129</v>
      </c>
      <c r="D21" s="13">
        <v>2416</v>
      </c>
      <c r="E21" s="14"/>
      <c r="H21" s="10"/>
      <c r="I21" s="10"/>
      <c r="J21" s="10"/>
      <c r="K21" s="10"/>
      <c r="L21" s="10"/>
      <c r="M21" s="10"/>
      <c r="N21" s="10" t="s">
        <v>130</v>
      </c>
      <c r="O21" s="11">
        <v>1050.42</v>
      </c>
      <c r="P21" s="11">
        <v>1050.42</v>
      </c>
      <c r="Q21" s="10" t="s">
        <v>130</v>
      </c>
      <c r="R21" s="11">
        <v>1050.42</v>
      </c>
      <c r="S21" s="10"/>
      <c r="T21" s="10"/>
      <c r="U21" s="10"/>
      <c r="V21" s="10"/>
      <c r="W21" s="10" t="s">
        <v>130</v>
      </c>
      <c r="X21" s="11">
        <v>1050.42</v>
      </c>
      <c r="Y21" s="96"/>
      <c r="Z21" s="96"/>
      <c r="AA21" s="96"/>
      <c r="AB21" s="96"/>
    </row>
    <row r="22" spans="1:29" ht="18" x14ac:dyDescent="0.35">
      <c r="A22" s="10"/>
      <c r="B22" s="10"/>
      <c r="C22" s="10" t="s">
        <v>131</v>
      </c>
      <c r="D22" s="11">
        <v>58.56</v>
      </c>
      <c r="E22" s="14">
        <v>64.66</v>
      </c>
      <c r="H22" s="10"/>
      <c r="I22" s="10"/>
      <c r="J22" s="10"/>
      <c r="K22" s="10"/>
      <c r="L22" s="10"/>
      <c r="M22" s="10"/>
      <c r="N22" s="10" t="s">
        <v>132</v>
      </c>
      <c r="O22" s="11">
        <v>485.56</v>
      </c>
      <c r="P22" s="11">
        <v>485.56</v>
      </c>
      <c r="Q22" s="10" t="s">
        <v>132</v>
      </c>
      <c r="R22" s="11">
        <v>485.56</v>
      </c>
      <c r="S22" s="10"/>
      <c r="T22" s="10"/>
      <c r="U22" s="10"/>
      <c r="V22" s="10"/>
      <c r="W22" s="10" t="s">
        <v>132</v>
      </c>
      <c r="X22" s="11">
        <v>485.56</v>
      </c>
      <c r="AA22" s="25"/>
    </row>
    <row r="23" spans="1:29" ht="15.75" x14ac:dyDescent="0.3">
      <c r="A23" s="10"/>
      <c r="B23" s="10"/>
      <c r="C23" s="10" t="s">
        <v>133</v>
      </c>
      <c r="D23" s="11">
        <v>113.46</v>
      </c>
      <c r="E23" s="14">
        <v>124.44</v>
      </c>
      <c r="H23" s="10"/>
      <c r="I23" s="10"/>
      <c r="J23" s="10"/>
      <c r="K23" s="10"/>
      <c r="L23" s="10"/>
      <c r="M23" s="10"/>
      <c r="N23" s="10" t="s">
        <v>134</v>
      </c>
      <c r="O23" s="11">
        <v>114.68</v>
      </c>
      <c r="P23" s="11">
        <v>152.5</v>
      </c>
      <c r="Q23" s="10" t="s">
        <v>134</v>
      </c>
      <c r="R23" s="11">
        <v>114.68</v>
      </c>
      <c r="S23" s="10"/>
      <c r="T23" s="10"/>
      <c r="U23" s="10"/>
      <c r="V23" s="10"/>
      <c r="W23" s="10" t="s">
        <v>134</v>
      </c>
      <c r="X23" s="11">
        <v>114.68</v>
      </c>
      <c r="AA23" s="26"/>
    </row>
    <row r="24" spans="1:29" ht="15.75" x14ac:dyDescent="0.3">
      <c r="A24" s="10"/>
      <c r="B24" s="10"/>
      <c r="C24" s="10" t="s">
        <v>135</v>
      </c>
      <c r="D24" s="11">
        <v>58.56</v>
      </c>
      <c r="E24" s="14">
        <v>64.66</v>
      </c>
      <c r="H24" s="10"/>
      <c r="I24" s="10"/>
      <c r="J24" s="10"/>
      <c r="K24" s="10"/>
      <c r="L24" s="10"/>
      <c r="M24" s="10"/>
      <c r="N24" s="10" t="s">
        <v>111</v>
      </c>
      <c r="O24" s="11">
        <v>76.86</v>
      </c>
      <c r="P24" s="11">
        <v>76.86</v>
      </c>
      <c r="Q24" s="10" t="s">
        <v>111</v>
      </c>
      <c r="R24" s="11">
        <v>76.86</v>
      </c>
      <c r="S24" s="10"/>
      <c r="T24" s="10"/>
      <c r="U24" s="10"/>
      <c r="V24" s="10"/>
      <c r="W24" s="10" t="s">
        <v>111</v>
      </c>
      <c r="X24" s="11">
        <v>76.86</v>
      </c>
      <c r="AA24" s="27"/>
    </row>
    <row r="25" spans="1:29" x14ac:dyDescent="0.25">
      <c r="A25" s="9"/>
      <c r="B25" s="9"/>
      <c r="C25" s="10" t="s">
        <v>136</v>
      </c>
      <c r="D25" s="11">
        <v>84.18</v>
      </c>
      <c r="E25" s="14">
        <v>92.72</v>
      </c>
      <c r="H25" s="10"/>
      <c r="I25" s="10"/>
      <c r="J25" s="10"/>
      <c r="K25" s="10"/>
      <c r="L25" s="10"/>
      <c r="M25" s="10"/>
      <c r="N25" s="10" t="s">
        <v>70</v>
      </c>
      <c r="O25" s="11">
        <v>829.6</v>
      </c>
      <c r="P25" s="11">
        <v>915</v>
      </c>
      <c r="Q25" s="10" t="s">
        <v>70</v>
      </c>
      <c r="R25" s="11">
        <v>829.6</v>
      </c>
      <c r="S25" s="10"/>
      <c r="T25" s="10"/>
      <c r="U25" s="10"/>
      <c r="V25" s="10"/>
      <c r="W25" s="10" t="s">
        <v>70</v>
      </c>
      <c r="X25" s="11">
        <v>829.6</v>
      </c>
    </row>
    <row r="26" spans="1:29" x14ac:dyDescent="0.25">
      <c r="C26" s="10" t="s">
        <v>137</v>
      </c>
      <c r="D26" s="11">
        <v>219.6</v>
      </c>
      <c r="E26" s="14">
        <v>240.34</v>
      </c>
      <c r="N26" s="10" t="s">
        <v>138</v>
      </c>
      <c r="O26" s="11">
        <v>37</v>
      </c>
      <c r="P26" s="11">
        <v>36.6</v>
      </c>
    </row>
    <row r="27" spans="1:29" x14ac:dyDescent="0.25">
      <c r="C27" s="10" t="s">
        <v>177</v>
      </c>
      <c r="D27" s="10"/>
      <c r="E27" s="14">
        <v>3989.4</v>
      </c>
      <c r="N27" s="10" t="s">
        <v>139</v>
      </c>
      <c r="O27" s="11">
        <v>39</v>
      </c>
      <c r="P27" s="11">
        <v>56.12</v>
      </c>
    </row>
    <row r="28" spans="1:29" x14ac:dyDescent="0.25">
      <c r="C28" s="10" t="s">
        <v>178</v>
      </c>
      <c r="D28" s="10"/>
      <c r="E28" s="14">
        <v>2393.64</v>
      </c>
      <c r="N28" s="10" t="s">
        <v>140</v>
      </c>
      <c r="O28" s="11">
        <v>28</v>
      </c>
      <c r="P28" s="11">
        <v>36.6</v>
      </c>
    </row>
    <row r="29" spans="1:29" x14ac:dyDescent="0.25">
      <c r="N29" s="10" t="s">
        <v>141</v>
      </c>
      <c r="O29" s="11">
        <v>37</v>
      </c>
      <c r="P29" s="11">
        <v>36.6</v>
      </c>
    </row>
    <row r="30" spans="1:29" x14ac:dyDescent="0.25">
      <c r="B30" s="64"/>
      <c r="N30" s="10" t="s">
        <v>142</v>
      </c>
      <c r="O30" s="11">
        <v>31</v>
      </c>
      <c r="P30" s="11"/>
    </row>
    <row r="31" spans="1:29" x14ac:dyDescent="0.25">
      <c r="O31" s="11" t="s">
        <v>143</v>
      </c>
    </row>
    <row r="32" spans="1:29" x14ac:dyDescent="0.25">
      <c r="G32" s="49"/>
    </row>
  </sheetData>
  <mergeCells count="11">
    <mergeCell ref="AA6:AB6"/>
    <mergeCell ref="Y21:AB21"/>
    <mergeCell ref="Y5:Z5"/>
    <mergeCell ref="A6:B6"/>
    <mergeCell ref="C6:E6"/>
    <mergeCell ref="F6:G6"/>
    <mergeCell ref="H6:I6"/>
    <mergeCell ref="J6:K6"/>
    <mergeCell ref="N6:O6"/>
    <mergeCell ref="W6:X6"/>
    <mergeCell ref="Y6:Z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4F89-DC3A-4A33-B44C-92645AB39894}">
  <dimension ref="A1:AB32"/>
  <sheetViews>
    <sheetView topLeftCell="Q1" workbookViewId="0">
      <selection activeCell="U32" sqref="U32"/>
    </sheetView>
  </sheetViews>
  <sheetFormatPr baseColWidth="10" defaultColWidth="9.140625" defaultRowHeight="15" x14ac:dyDescent="0.25"/>
  <cols>
    <col min="1" max="1" width="29.5703125" customWidth="1"/>
    <col min="2" max="2" width="15.42578125" customWidth="1"/>
    <col min="3" max="3" width="34.5703125" customWidth="1"/>
    <col min="4" max="4" width="21.5703125" customWidth="1"/>
    <col min="5" max="5" width="22.7109375" customWidth="1"/>
    <col min="6" max="6" width="18.85546875" customWidth="1"/>
    <col min="7" max="7" width="20.7109375" customWidth="1"/>
    <col min="8" max="8" width="21.28515625" customWidth="1"/>
    <col min="9" max="9" width="25.85546875" customWidth="1"/>
    <col min="10" max="10" width="17.5703125" customWidth="1"/>
    <col min="11" max="11" width="43.85546875" customWidth="1"/>
    <col min="12" max="12" width="14.85546875" customWidth="1"/>
    <col min="13" max="13" width="33" customWidth="1"/>
    <col min="14" max="14" width="13.28515625" customWidth="1"/>
    <col min="15" max="15" width="12.5703125" customWidth="1"/>
    <col min="16" max="16" width="24.140625" customWidth="1"/>
    <col min="17" max="17" width="15.85546875" customWidth="1"/>
    <col min="18" max="18" width="24.140625" customWidth="1"/>
    <col min="19" max="19" width="11.140625" customWidth="1"/>
    <col min="20" max="20" width="21.28515625" customWidth="1"/>
    <col min="21" max="21" width="18.140625" customWidth="1"/>
    <col min="22" max="22" width="23.28515625" customWidth="1"/>
    <col min="23" max="23" width="19.140625" customWidth="1"/>
    <col min="24" max="24" width="19.28515625" customWidth="1"/>
    <col min="25" max="25" width="14.85546875" customWidth="1"/>
    <col min="26" max="26" width="25.7109375" customWidth="1"/>
    <col min="27" max="27" width="16.42578125" customWidth="1"/>
    <col min="28" max="28" width="14.85546875" customWidth="1"/>
  </cols>
  <sheetData>
    <row r="1" spans="1:28" x14ac:dyDescent="0.25">
      <c r="A1" s="3" t="s">
        <v>0</v>
      </c>
      <c r="B1" s="3"/>
    </row>
    <row r="3" spans="1:28" x14ac:dyDescent="0.25">
      <c r="A3" s="2" t="s">
        <v>1</v>
      </c>
      <c r="B3" s="29"/>
      <c r="C3" s="2" t="s">
        <v>1</v>
      </c>
      <c r="D3" s="32">
        <v>0.4</v>
      </c>
      <c r="E3" s="2" t="s">
        <v>1</v>
      </c>
      <c r="F3" s="51">
        <v>0.25</v>
      </c>
      <c r="G3" s="29" t="s">
        <v>1</v>
      </c>
      <c r="H3" s="4" t="s">
        <v>2</v>
      </c>
      <c r="I3" s="2" t="s">
        <v>1</v>
      </c>
      <c r="J3" s="4">
        <v>1</v>
      </c>
      <c r="K3" s="2" t="s">
        <v>1</v>
      </c>
      <c r="L3" s="4" t="s">
        <v>2</v>
      </c>
      <c r="M3" s="2" t="s">
        <v>1</v>
      </c>
      <c r="N3" s="29"/>
      <c r="O3" s="4">
        <v>0.25</v>
      </c>
      <c r="P3" s="2" t="s">
        <v>1</v>
      </c>
      <c r="Q3" s="8" t="s">
        <v>2</v>
      </c>
      <c r="R3" s="2" t="s">
        <v>1</v>
      </c>
      <c r="S3" s="4">
        <v>1</v>
      </c>
      <c r="T3" s="2" t="s">
        <v>1</v>
      </c>
      <c r="U3" s="8" t="s">
        <v>2</v>
      </c>
      <c r="V3" s="2" t="s">
        <v>1</v>
      </c>
      <c r="W3" s="8" t="s">
        <v>2</v>
      </c>
      <c r="X3" s="2" t="s">
        <v>1</v>
      </c>
      <c r="Y3" s="8" t="s">
        <v>2</v>
      </c>
      <c r="Z3" s="2" t="s">
        <v>1</v>
      </c>
      <c r="AA3" s="28" t="s">
        <v>2</v>
      </c>
    </row>
    <row r="4" spans="1:28" x14ac:dyDescent="0.25">
      <c r="A4" s="1" t="s">
        <v>3</v>
      </c>
      <c r="B4" s="59"/>
      <c r="E4" s="38"/>
    </row>
    <row r="5" spans="1:28" x14ac:dyDescent="0.25">
      <c r="A5" s="2" t="s">
        <v>4</v>
      </c>
      <c r="B5" s="29" t="s">
        <v>5</v>
      </c>
      <c r="C5" s="2" t="s">
        <v>4</v>
      </c>
      <c r="D5" s="29" t="s">
        <v>6</v>
      </c>
      <c r="E5" s="2" t="s">
        <v>4</v>
      </c>
      <c r="F5" s="7" t="s">
        <v>7</v>
      </c>
      <c r="G5" s="29" t="s">
        <v>4</v>
      </c>
      <c r="H5" s="7" t="s">
        <v>8</v>
      </c>
      <c r="I5" s="2" t="s">
        <v>4</v>
      </c>
      <c r="J5" s="7" t="s">
        <v>8</v>
      </c>
      <c r="K5" s="2" t="s">
        <v>9</v>
      </c>
      <c r="L5" s="7" t="s">
        <v>8</v>
      </c>
      <c r="M5" s="2" t="s">
        <v>4</v>
      </c>
      <c r="N5" s="29"/>
      <c r="O5" s="7" t="s">
        <v>10</v>
      </c>
      <c r="P5" s="2" t="s">
        <v>11</v>
      </c>
      <c r="Q5" s="7" t="s">
        <v>8</v>
      </c>
      <c r="R5" s="2" t="s">
        <v>4</v>
      </c>
      <c r="S5" s="7" t="s">
        <v>8</v>
      </c>
      <c r="T5" s="2" t="s">
        <v>12</v>
      </c>
      <c r="U5" s="7" t="s">
        <v>8</v>
      </c>
      <c r="V5" s="2" t="s">
        <v>13</v>
      </c>
      <c r="W5" s="7" t="s">
        <v>8</v>
      </c>
      <c r="X5" s="101" t="s">
        <v>14</v>
      </c>
      <c r="Y5" s="102"/>
      <c r="Z5" s="23" t="s">
        <v>4</v>
      </c>
      <c r="AA5" s="24"/>
    </row>
    <row r="6" spans="1:28" x14ac:dyDescent="0.25">
      <c r="A6" s="107" t="s">
        <v>15</v>
      </c>
      <c r="B6" s="107"/>
      <c r="C6" s="105" t="s">
        <v>16</v>
      </c>
      <c r="D6" s="105"/>
      <c r="E6" s="106" t="s">
        <v>17</v>
      </c>
      <c r="F6" s="105"/>
      <c r="G6" s="95" t="s">
        <v>18</v>
      </c>
      <c r="H6" s="95"/>
      <c r="I6" s="105" t="s">
        <v>19</v>
      </c>
      <c r="J6" s="105"/>
      <c r="K6" s="17" t="s">
        <v>20</v>
      </c>
      <c r="L6" s="17"/>
      <c r="M6" s="95" t="s">
        <v>21</v>
      </c>
      <c r="N6" s="95"/>
      <c r="O6" s="17"/>
      <c r="P6" s="17" t="s">
        <v>22</v>
      </c>
      <c r="Q6" s="17"/>
      <c r="R6" s="17" t="s">
        <v>23</v>
      </c>
      <c r="S6" s="17"/>
      <c r="T6" s="17" t="s">
        <v>24</v>
      </c>
      <c r="U6" s="17"/>
      <c r="V6" s="95" t="s">
        <v>25</v>
      </c>
      <c r="W6" s="95"/>
      <c r="X6" s="95" t="s">
        <v>26</v>
      </c>
      <c r="Y6" s="95"/>
      <c r="Z6" s="95" t="s">
        <v>27</v>
      </c>
      <c r="AA6" s="95"/>
    </row>
    <row r="7" spans="1:28" x14ac:dyDescent="0.25">
      <c r="A7" s="9" t="s">
        <v>28</v>
      </c>
      <c r="B7" s="9" t="s">
        <v>29</v>
      </c>
      <c r="C7" s="9" t="s">
        <v>28</v>
      </c>
      <c r="D7" s="33" t="s">
        <v>30</v>
      </c>
      <c r="E7" s="40" t="s">
        <v>28</v>
      </c>
      <c r="F7" s="53" t="s">
        <v>30</v>
      </c>
      <c r="G7" s="36" t="s">
        <v>28</v>
      </c>
      <c r="H7" s="12" t="s">
        <v>30</v>
      </c>
      <c r="I7" s="9" t="s">
        <v>28</v>
      </c>
      <c r="J7" s="9" t="s">
        <v>30</v>
      </c>
      <c r="K7" s="9" t="s">
        <v>28</v>
      </c>
      <c r="L7" s="9" t="s">
        <v>31</v>
      </c>
      <c r="M7" s="9" t="s">
        <v>28</v>
      </c>
      <c r="N7" s="9" t="s">
        <v>31</v>
      </c>
      <c r="O7" s="63" t="s">
        <v>29</v>
      </c>
      <c r="P7" s="9" t="s">
        <v>28</v>
      </c>
      <c r="Q7" s="9" t="s">
        <v>31</v>
      </c>
      <c r="R7" s="9" t="s">
        <v>28</v>
      </c>
      <c r="S7" s="9" t="s">
        <v>31</v>
      </c>
      <c r="T7" s="9" t="s">
        <v>28</v>
      </c>
      <c r="U7" s="9" t="s">
        <v>31</v>
      </c>
      <c r="V7" s="9" t="s">
        <v>28</v>
      </c>
      <c r="W7" s="9" t="s">
        <v>31</v>
      </c>
      <c r="X7" s="9" t="s">
        <v>32</v>
      </c>
      <c r="Y7" s="9" t="s">
        <v>33</v>
      </c>
      <c r="Z7" s="9" t="s">
        <v>32</v>
      </c>
      <c r="AA7" s="9" t="s">
        <v>34</v>
      </c>
      <c r="AB7" s="9" t="s">
        <v>35</v>
      </c>
    </row>
    <row r="8" spans="1:28" x14ac:dyDescent="0.25">
      <c r="A8" s="10" t="s">
        <v>36</v>
      </c>
      <c r="B8" s="11">
        <v>285.2</v>
      </c>
      <c r="C8" s="10" t="s">
        <v>37</v>
      </c>
      <c r="D8" s="34">
        <v>132.97999999999999</v>
      </c>
      <c r="E8" s="41" t="s">
        <v>38</v>
      </c>
      <c r="F8" s="52">
        <v>100</v>
      </c>
      <c r="G8" s="37" t="s">
        <v>39</v>
      </c>
      <c r="H8" s="13">
        <v>103.7</v>
      </c>
      <c r="I8" s="10" t="s">
        <v>40</v>
      </c>
      <c r="J8" s="11">
        <v>128.1</v>
      </c>
      <c r="K8" s="10" t="s">
        <v>41</v>
      </c>
      <c r="L8" s="11">
        <v>103.7</v>
      </c>
      <c r="M8" s="10" t="s">
        <v>42</v>
      </c>
      <c r="N8" s="11">
        <v>86.62</v>
      </c>
      <c r="O8" s="11">
        <v>97.6</v>
      </c>
      <c r="P8" s="10" t="s">
        <v>42</v>
      </c>
      <c r="Q8" s="11">
        <v>86.62</v>
      </c>
      <c r="R8" s="10" t="s">
        <v>43</v>
      </c>
      <c r="S8" s="11">
        <v>90</v>
      </c>
      <c r="T8" s="10" t="s">
        <v>43</v>
      </c>
      <c r="U8" s="11">
        <v>97.6</v>
      </c>
      <c r="V8" s="10" t="s">
        <v>42</v>
      </c>
      <c r="W8" s="11">
        <v>86.62</v>
      </c>
      <c r="X8" s="10" t="s">
        <v>39</v>
      </c>
      <c r="Y8" s="10">
        <v>122</v>
      </c>
      <c r="Z8" s="10" t="s">
        <v>44</v>
      </c>
      <c r="AA8" s="10">
        <v>87.84</v>
      </c>
      <c r="AB8" s="10">
        <v>112.24</v>
      </c>
    </row>
    <row r="9" spans="1:28" x14ac:dyDescent="0.25">
      <c r="A9" s="10" t="s">
        <v>45</v>
      </c>
      <c r="B9" s="11">
        <v>398.73</v>
      </c>
      <c r="C9" s="10" t="s">
        <v>46</v>
      </c>
      <c r="D9" s="34">
        <v>179.34</v>
      </c>
      <c r="E9" s="41" t="s">
        <v>47</v>
      </c>
      <c r="F9" s="52">
        <v>60</v>
      </c>
      <c r="G9" s="37" t="s">
        <v>48</v>
      </c>
      <c r="H9" s="13">
        <v>140.30000000000001</v>
      </c>
      <c r="I9" s="10" t="s">
        <v>49</v>
      </c>
      <c r="J9" s="11">
        <v>103.7</v>
      </c>
      <c r="K9" s="10" t="s">
        <v>50</v>
      </c>
      <c r="L9" s="11">
        <v>146.4</v>
      </c>
      <c r="M9" s="10" t="s">
        <v>51</v>
      </c>
      <c r="N9" s="11">
        <v>129.32</v>
      </c>
      <c r="O9" s="11">
        <v>146.4</v>
      </c>
      <c r="P9" s="10" t="s">
        <v>51</v>
      </c>
      <c r="Q9" s="11">
        <v>129.32</v>
      </c>
      <c r="R9" s="10" t="s">
        <v>52</v>
      </c>
      <c r="S9" s="11">
        <v>90</v>
      </c>
      <c r="T9" s="10" t="s">
        <v>39</v>
      </c>
      <c r="U9" s="11">
        <v>73.2</v>
      </c>
      <c r="V9" s="10" t="s">
        <v>51</v>
      </c>
      <c r="W9" s="11">
        <v>129.32</v>
      </c>
      <c r="X9" s="10" t="s">
        <v>48</v>
      </c>
      <c r="Y9" s="10">
        <v>146.4</v>
      </c>
      <c r="Z9" s="10" t="s">
        <v>53</v>
      </c>
      <c r="AA9" s="10">
        <v>106.14</v>
      </c>
      <c r="AB9" s="10">
        <v>130.54</v>
      </c>
    </row>
    <row r="10" spans="1:28" x14ac:dyDescent="0.25">
      <c r="A10" s="10" t="s">
        <v>54</v>
      </c>
      <c r="B10" s="11">
        <v>427.81</v>
      </c>
      <c r="C10" s="10" t="s">
        <v>54</v>
      </c>
      <c r="D10" s="34">
        <v>463.6</v>
      </c>
      <c r="E10" s="41" t="s">
        <v>55</v>
      </c>
      <c r="F10" s="52">
        <v>90</v>
      </c>
      <c r="G10" s="37" t="s">
        <v>56</v>
      </c>
      <c r="H10" s="13">
        <v>280.60000000000002</v>
      </c>
      <c r="I10" s="10" t="s">
        <v>57</v>
      </c>
      <c r="J10" s="11">
        <v>103.7</v>
      </c>
      <c r="K10" s="10" t="s">
        <v>58</v>
      </c>
      <c r="L10" s="11">
        <v>305</v>
      </c>
      <c r="M10" s="10" t="s">
        <v>59</v>
      </c>
      <c r="N10" s="11">
        <v>167.14</v>
      </c>
      <c r="O10" s="11">
        <v>219.6</v>
      </c>
      <c r="P10" s="10" t="s">
        <v>59</v>
      </c>
      <c r="Q10" s="11">
        <v>167.14</v>
      </c>
      <c r="R10" s="10" t="s">
        <v>60</v>
      </c>
      <c r="S10" s="11">
        <v>100</v>
      </c>
      <c r="T10" s="10" t="s">
        <v>48</v>
      </c>
      <c r="U10" s="11">
        <v>85.4</v>
      </c>
      <c r="V10" s="10" t="s">
        <v>59</v>
      </c>
      <c r="W10" s="11">
        <v>167.14</v>
      </c>
      <c r="X10" s="10" t="s">
        <v>56</v>
      </c>
      <c r="Y10" s="10">
        <v>427</v>
      </c>
      <c r="Z10" s="10" t="s">
        <v>61</v>
      </c>
      <c r="AA10" s="10">
        <v>231.79999999999998</v>
      </c>
      <c r="AB10" s="10">
        <v>256.2</v>
      </c>
    </row>
    <row r="11" spans="1:28" x14ac:dyDescent="0.25">
      <c r="A11" s="10" t="s">
        <v>62</v>
      </c>
      <c r="B11" s="11">
        <v>1427.4</v>
      </c>
      <c r="C11" s="10" t="s">
        <v>63</v>
      </c>
      <c r="D11" s="34">
        <v>1018.7</v>
      </c>
      <c r="E11" s="41" t="s">
        <v>57</v>
      </c>
      <c r="F11" s="52">
        <v>120</v>
      </c>
      <c r="G11" s="37" t="s">
        <v>64</v>
      </c>
      <c r="H11" s="13">
        <v>225.7</v>
      </c>
      <c r="I11" s="10" t="s">
        <v>65</v>
      </c>
      <c r="J11" s="11">
        <v>115.9</v>
      </c>
      <c r="K11" s="10" t="s">
        <v>66</v>
      </c>
      <c r="L11" s="11">
        <v>829.6</v>
      </c>
      <c r="M11" s="10" t="s">
        <v>67</v>
      </c>
      <c r="N11" s="11">
        <v>86.62</v>
      </c>
      <c r="O11" s="11">
        <v>97.6</v>
      </c>
      <c r="P11" s="10" t="s">
        <v>67</v>
      </c>
      <c r="Q11" s="11">
        <v>86.62</v>
      </c>
      <c r="R11" s="10" t="s">
        <v>56</v>
      </c>
      <c r="S11" s="11">
        <v>200</v>
      </c>
      <c r="T11" s="10" t="s">
        <v>56</v>
      </c>
      <c r="U11" s="11">
        <v>183</v>
      </c>
      <c r="V11" s="10" t="s">
        <v>67</v>
      </c>
      <c r="W11" s="11">
        <v>86.62</v>
      </c>
      <c r="X11" s="10" t="s">
        <v>68</v>
      </c>
      <c r="Y11" s="10">
        <v>488</v>
      </c>
      <c r="Z11" s="10" t="s">
        <v>69</v>
      </c>
      <c r="AA11" s="10">
        <v>463.59999999999997</v>
      </c>
      <c r="AB11" s="10">
        <v>488</v>
      </c>
    </row>
    <row r="12" spans="1:28" x14ac:dyDescent="0.25">
      <c r="A12" s="10" t="s">
        <v>70</v>
      </c>
      <c r="B12" s="11">
        <v>2035.2</v>
      </c>
      <c r="C12" s="10" t="s">
        <v>71</v>
      </c>
      <c r="D12" s="34">
        <v>1683.6</v>
      </c>
      <c r="E12" s="41" t="s">
        <v>72</v>
      </c>
      <c r="F12" s="52">
        <v>200</v>
      </c>
      <c r="G12" s="37" t="s">
        <v>73</v>
      </c>
      <c r="H12" s="13">
        <v>622.20000000000005</v>
      </c>
      <c r="I12" s="10" t="s">
        <v>58</v>
      </c>
      <c r="J12" s="11">
        <v>244</v>
      </c>
      <c r="K12" s="10" t="s">
        <v>74</v>
      </c>
      <c r="L12" s="11">
        <v>1018.7</v>
      </c>
      <c r="M12" s="10" t="s">
        <v>75</v>
      </c>
      <c r="N12" s="11">
        <v>114.68</v>
      </c>
      <c r="O12" s="11">
        <v>152.5</v>
      </c>
      <c r="P12" s="10" t="s">
        <v>75</v>
      </c>
      <c r="Q12" s="11">
        <v>114.68</v>
      </c>
      <c r="R12" s="10" t="s">
        <v>76</v>
      </c>
      <c r="S12" s="11">
        <v>180</v>
      </c>
      <c r="T12" s="10" t="s">
        <v>77</v>
      </c>
      <c r="U12" s="11">
        <v>610</v>
      </c>
      <c r="V12" s="10" t="s">
        <v>75</v>
      </c>
      <c r="W12" s="11">
        <v>114.68</v>
      </c>
      <c r="X12" s="10" t="s">
        <v>78</v>
      </c>
      <c r="Y12" s="10">
        <v>1098</v>
      </c>
      <c r="Z12" s="10" t="s">
        <v>79</v>
      </c>
      <c r="AA12" s="10">
        <v>829.6</v>
      </c>
      <c r="AB12" s="10">
        <v>854</v>
      </c>
    </row>
    <row r="13" spans="1:28" x14ac:dyDescent="0.25">
      <c r="A13" s="10" t="s">
        <v>80</v>
      </c>
      <c r="B13" s="11">
        <v>182.75</v>
      </c>
      <c r="C13" s="18" t="s">
        <v>81</v>
      </c>
      <c r="D13" s="35">
        <v>4026</v>
      </c>
      <c r="E13" s="41" t="s">
        <v>82</v>
      </c>
      <c r="F13" s="52">
        <v>200</v>
      </c>
      <c r="G13" s="37" t="s">
        <v>83</v>
      </c>
      <c r="H13" s="13">
        <v>969.9</v>
      </c>
      <c r="I13" s="10" t="s">
        <v>84</v>
      </c>
      <c r="J13" s="11">
        <v>134.19999999999999</v>
      </c>
      <c r="K13" s="10" t="s">
        <v>40</v>
      </c>
      <c r="L13" s="11">
        <v>146.4</v>
      </c>
      <c r="M13" s="10" t="s">
        <v>85</v>
      </c>
      <c r="N13" s="11">
        <v>86.62</v>
      </c>
      <c r="O13" s="11">
        <v>97.6</v>
      </c>
      <c r="P13" s="10" t="s">
        <v>85</v>
      </c>
      <c r="Q13" s="11">
        <v>86.62</v>
      </c>
      <c r="R13" s="10" t="s">
        <v>78</v>
      </c>
      <c r="S13" s="11">
        <v>445</v>
      </c>
      <c r="T13" s="10" t="s">
        <v>78</v>
      </c>
      <c r="U13" s="11">
        <v>366</v>
      </c>
      <c r="V13" s="10" t="s">
        <v>85</v>
      </c>
      <c r="W13" s="11">
        <v>86.62</v>
      </c>
      <c r="X13" s="10" t="s">
        <v>86</v>
      </c>
      <c r="Y13" s="10">
        <v>1586</v>
      </c>
      <c r="Z13" s="10" t="s">
        <v>87</v>
      </c>
      <c r="AA13" s="10">
        <v>1000.4</v>
      </c>
      <c r="AB13" s="10">
        <v>1024.8</v>
      </c>
    </row>
    <row r="14" spans="1:28" x14ac:dyDescent="0.25">
      <c r="A14" s="10" t="s">
        <v>88</v>
      </c>
      <c r="B14" s="11">
        <v>365.51</v>
      </c>
      <c r="C14" s="10" t="s">
        <v>89</v>
      </c>
      <c r="D14" s="34">
        <v>231.8</v>
      </c>
      <c r="E14" s="41" t="s">
        <v>83</v>
      </c>
      <c r="F14" s="52">
        <v>650</v>
      </c>
      <c r="G14" s="37" t="s">
        <v>40</v>
      </c>
      <c r="H14" s="13">
        <v>176.9</v>
      </c>
      <c r="I14" s="10" t="s">
        <v>70</v>
      </c>
      <c r="J14" s="11">
        <v>976</v>
      </c>
      <c r="K14" s="10" t="s">
        <v>90</v>
      </c>
      <c r="L14" s="11">
        <v>134.19999999999999</v>
      </c>
      <c r="M14" s="10" t="s">
        <v>91</v>
      </c>
      <c r="N14" s="11">
        <v>1493.28</v>
      </c>
      <c r="O14" s="11">
        <v>1342</v>
      </c>
      <c r="P14" s="10" t="s">
        <v>91</v>
      </c>
      <c r="Q14" s="11">
        <v>1493.28</v>
      </c>
      <c r="R14" s="10" t="s">
        <v>77</v>
      </c>
      <c r="S14" s="11">
        <v>665</v>
      </c>
      <c r="T14" s="10" t="s">
        <v>40</v>
      </c>
      <c r="U14" s="11">
        <v>97.6</v>
      </c>
      <c r="V14" s="10" t="s">
        <v>91</v>
      </c>
      <c r="W14" s="11">
        <v>1493.28</v>
      </c>
      <c r="X14" s="10" t="s">
        <v>92</v>
      </c>
      <c r="Y14" s="10">
        <v>128.1</v>
      </c>
      <c r="Z14" s="10" t="s">
        <v>93</v>
      </c>
      <c r="AA14" s="10">
        <v>146.4</v>
      </c>
      <c r="AB14" s="10">
        <v>195.2</v>
      </c>
    </row>
    <row r="15" spans="1:28" x14ac:dyDescent="0.25">
      <c r="A15" s="10" t="s">
        <v>94</v>
      </c>
      <c r="B15" s="11">
        <v>267.2</v>
      </c>
      <c r="C15" s="10" t="s">
        <v>95</v>
      </c>
      <c r="D15" s="34">
        <v>308.66000000000003</v>
      </c>
      <c r="E15" s="41" t="s">
        <v>70</v>
      </c>
      <c r="F15" s="52">
        <v>550</v>
      </c>
      <c r="G15" s="37" t="s">
        <v>96</v>
      </c>
      <c r="H15" s="13">
        <v>683.2</v>
      </c>
      <c r="I15" s="10" t="s">
        <v>97</v>
      </c>
      <c r="J15" s="11">
        <v>634.4</v>
      </c>
      <c r="K15" s="10" t="s">
        <v>98</v>
      </c>
      <c r="L15" s="11">
        <v>134.19999999999999</v>
      </c>
      <c r="M15" s="10" t="s">
        <v>99</v>
      </c>
      <c r="N15" s="11">
        <v>101.26</v>
      </c>
      <c r="O15" s="11">
        <v>122</v>
      </c>
      <c r="P15" s="10" t="s">
        <v>99</v>
      </c>
      <c r="Q15" s="11">
        <v>101.26</v>
      </c>
      <c r="R15" s="10" t="s">
        <v>100</v>
      </c>
      <c r="S15" s="11">
        <v>85</v>
      </c>
      <c r="T15" s="10"/>
      <c r="U15" s="10"/>
      <c r="V15" s="10" t="s">
        <v>99</v>
      </c>
      <c r="W15" s="11">
        <v>101.26</v>
      </c>
      <c r="X15" s="10" t="s">
        <v>101</v>
      </c>
      <c r="Y15" s="10">
        <v>213.5</v>
      </c>
      <c r="Z15" s="10" t="s">
        <v>102</v>
      </c>
      <c r="AA15" s="10">
        <v>195.2</v>
      </c>
      <c r="AB15" s="10">
        <v>219.6</v>
      </c>
    </row>
    <row r="16" spans="1:28" x14ac:dyDescent="0.25">
      <c r="A16" s="10" t="s">
        <v>103</v>
      </c>
      <c r="B16" s="11">
        <v>354.43</v>
      </c>
      <c r="C16" s="10" t="s">
        <v>104</v>
      </c>
      <c r="D16" s="34">
        <v>231.8</v>
      </c>
      <c r="E16" s="69" t="s">
        <v>105</v>
      </c>
      <c r="F16" s="21">
        <v>150</v>
      </c>
      <c r="G16" s="37" t="s">
        <v>43</v>
      </c>
      <c r="H16" s="13">
        <v>122</v>
      </c>
      <c r="I16" s="10" t="s">
        <v>106</v>
      </c>
      <c r="J16" s="11">
        <v>1024.8</v>
      </c>
      <c r="K16" s="10"/>
      <c r="L16" s="10"/>
      <c r="M16" s="10" t="s">
        <v>107</v>
      </c>
      <c r="N16" s="11">
        <v>86.62</v>
      </c>
      <c r="O16" s="11">
        <v>97.6</v>
      </c>
      <c r="P16" s="10" t="s">
        <v>107</v>
      </c>
      <c r="Q16" s="11">
        <v>86.62</v>
      </c>
      <c r="R16" s="10" t="s">
        <v>108</v>
      </c>
      <c r="S16" s="11">
        <v>125</v>
      </c>
      <c r="T16" s="10"/>
      <c r="U16" s="10"/>
      <c r="V16" s="10" t="s">
        <v>107</v>
      </c>
      <c r="W16" s="11">
        <v>86.62</v>
      </c>
      <c r="X16" s="10" t="s">
        <v>109</v>
      </c>
      <c r="Y16" s="10">
        <v>1037</v>
      </c>
      <c r="Z16" s="10" t="s">
        <v>110</v>
      </c>
      <c r="AA16" s="10">
        <v>268.39999999999998</v>
      </c>
      <c r="AB16" s="10">
        <v>292.8</v>
      </c>
    </row>
    <row r="17" spans="1:28" x14ac:dyDescent="0.25">
      <c r="A17" s="10"/>
      <c r="B17" s="65"/>
      <c r="C17" s="10" t="s">
        <v>111</v>
      </c>
      <c r="D17" s="34">
        <v>113.46</v>
      </c>
      <c r="E17" s="44"/>
      <c r="F17" s="46"/>
      <c r="G17" s="37"/>
      <c r="H17" s="10"/>
      <c r="I17" s="10" t="s">
        <v>112</v>
      </c>
      <c r="J17" s="11">
        <v>1207.8</v>
      </c>
      <c r="K17" s="10"/>
      <c r="L17" s="10"/>
      <c r="M17" s="10" t="s">
        <v>113</v>
      </c>
      <c r="N17" s="11">
        <v>212.28</v>
      </c>
      <c r="O17" s="11">
        <v>233.5</v>
      </c>
      <c r="P17" s="10" t="s">
        <v>114</v>
      </c>
      <c r="Q17" s="11">
        <v>212.28</v>
      </c>
      <c r="R17" s="10" t="s">
        <v>115</v>
      </c>
      <c r="S17" s="11">
        <v>100</v>
      </c>
      <c r="T17" s="10"/>
      <c r="U17" s="10"/>
      <c r="V17" s="10" t="s">
        <v>114</v>
      </c>
      <c r="W17" s="11">
        <v>212.28</v>
      </c>
      <c r="X17" s="10" t="s">
        <v>104</v>
      </c>
      <c r="Y17" s="10">
        <v>152.5</v>
      </c>
      <c r="Z17" s="10" t="s">
        <v>116</v>
      </c>
      <c r="AA17" s="10">
        <v>183</v>
      </c>
      <c r="AB17" s="10">
        <v>207.4</v>
      </c>
    </row>
    <row r="18" spans="1:28" x14ac:dyDescent="0.25">
      <c r="A18" s="10"/>
      <c r="B18" s="10"/>
      <c r="C18" s="10" t="s">
        <v>70</v>
      </c>
      <c r="D18" s="11">
        <v>1244.4000000000001</v>
      </c>
      <c r="G18" s="10"/>
      <c r="H18" s="10"/>
      <c r="I18" s="10" t="s">
        <v>117</v>
      </c>
      <c r="J18" s="11">
        <v>3416</v>
      </c>
      <c r="K18" s="10"/>
      <c r="L18" s="10"/>
      <c r="M18" s="10" t="s">
        <v>118</v>
      </c>
      <c r="N18" s="11">
        <v>668.56</v>
      </c>
      <c r="O18" s="11">
        <v>1098</v>
      </c>
      <c r="P18" s="10" t="s">
        <v>119</v>
      </c>
      <c r="Q18" s="11">
        <v>668.56</v>
      </c>
      <c r="R18" s="10" t="s">
        <v>70</v>
      </c>
      <c r="S18" s="11">
        <v>600</v>
      </c>
      <c r="T18" s="10"/>
      <c r="U18" s="10"/>
      <c r="V18" s="10" t="s">
        <v>119</v>
      </c>
      <c r="W18" s="11">
        <v>668.56</v>
      </c>
      <c r="X18" s="10" t="s">
        <v>120</v>
      </c>
      <c r="Y18" s="10">
        <v>152.5</v>
      </c>
      <c r="Z18" s="10" t="s">
        <v>121</v>
      </c>
      <c r="AA18" s="10">
        <v>244</v>
      </c>
      <c r="AB18" s="10">
        <v>268.39999999999998</v>
      </c>
    </row>
    <row r="19" spans="1:28" x14ac:dyDescent="0.25">
      <c r="A19" s="10" t="s">
        <v>122</v>
      </c>
      <c r="B19" s="10"/>
      <c r="C19" s="10" t="s">
        <v>43</v>
      </c>
      <c r="D19" s="11">
        <v>164.7</v>
      </c>
      <c r="G19" s="10"/>
      <c r="H19" s="9"/>
      <c r="I19" s="10"/>
      <c r="J19" s="10"/>
      <c r="K19" s="10"/>
      <c r="L19" s="10"/>
      <c r="M19" s="10" t="s">
        <v>123</v>
      </c>
      <c r="N19" s="11">
        <v>334.28</v>
      </c>
      <c r="O19" s="11">
        <v>549</v>
      </c>
      <c r="P19" s="10" t="s">
        <v>124</v>
      </c>
      <c r="Q19" s="11">
        <v>334.28</v>
      </c>
      <c r="R19" s="10"/>
      <c r="S19" s="10"/>
      <c r="T19" s="10"/>
      <c r="U19" s="10"/>
      <c r="V19" s="10" t="s">
        <v>124</v>
      </c>
      <c r="W19" s="11">
        <v>334.28</v>
      </c>
      <c r="Z19" s="10" t="s">
        <v>125</v>
      </c>
      <c r="AA19" s="10">
        <v>976</v>
      </c>
      <c r="AB19" s="10">
        <v>1000.4</v>
      </c>
    </row>
    <row r="20" spans="1:28" x14ac:dyDescent="0.25">
      <c r="A20" s="10"/>
      <c r="B20" s="10"/>
      <c r="C20" s="22" t="s">
        <v>126</v>
      </c>
      <c r="D20" s="13">
        <v>2147.1999999999998</v>
      </c>
      <c r="G20" s="10"/>
      <c r="H20" s="10"/>
      <c r="I20" s="10"/>
      <c r="J20" s="10"/>
      <c r="K20" s="10"/>
      <c r="L20" s="10"/>
      <c r="M20" s="10" t="s">
        <v>127</v>
      </c>
      <c r="N20" s="11">
        <v>217.16</v>
      </c>
      <c r="O20" s="11">
        <v>244</v>
      </c>
      <c r="P20" s="10" t="s">
        <v>127</v>
      </c>
      <c r="Q20" s="11">
        <v>217.16</v>
      </c>
      <c r="R20" s="10"/>
      <c r="S20" s="10"/>
      <c r="T20" s="10"/>
      <c r="U20" s="10"/>
      <c r="V20" s="10" t="s">
        <v>127</v>
      </c>
      <c r="W20" s="11">
        <v>217.16</v>
      </c>
      <c r="Z20" s="10" t="s">
        <v>128</v>
      </c>
      <c r="AA20" s="10">
        <v>183</v>
      </c>
      <c r="AB20" s="10">
        <v>207.4</v>
      </c>
    </row>
    <row r="21" spans="1:28" x14ac:dyDescent="0.25">
      <c r="B21" s="10"/>
      <c r="C21" s="22" t="s">
        <v>129</v>
      </c>
      <c r="D21" s="13">
        <v>2416</v>
      </c>
      <c r="G21" s="10"/>
      <c r="H21" s="10"/>
      <c r="I21" s="10"/>
      <c r="J21" s="10"/>
      <c r="K21" s="10"/>
      <c r="L21" s="10"/>
      <c r="M21" s="10" t="s">
        <v>130</v>
      </c>
      <c r="N21" s="11">
        <v>1050.42</v>
      </c>
      <c r="O21" s="11">
        <v>1050.42</v>
      </c>
      <c r="P21" s="10" t="s">
        <v>130</v>
      </c>
      <c r="Q21" s="11">
        <v>1050.42</v>
      </c>
      <c r="R21" s="10"/>
      <c r="S21" s="10"/>
      <c r="T21" s="10"/>
      <c r="U21" s="10"/>
      <c r="V21" s="10" t="s">
        <v>130</v>
      </c>
      <c r="W21" s="11">
        <v>1050.42</v>
      </c>
      <c r="X21" s="96"/>
      <c r="Y21" s="96"/>
      <c r="Z21" s="96"/>
      <c r="AA21" s="96"/>
    </row>
    <row r="22" spans="1:28" ht="18" x14ac:dyDescent="0.35">
      <c r="A22" s="10"/>
      <c r="B22" s="10"/>
      <c r="C22" s="10" t="s">
        <v>131</v>
      </c>
      <c r="D22" s="11">
        <v>58.56</v>
      </c>
      <c r="G22" s="10"/>
      <c r="H22" s="10"/>
      <c r="I22" s="10"/>
      <c r="J22" s="10"/>
      <c r="K22" s="10"/>
      <c r="L22" s="10"/>
      <c r="M22" s="10" t="s">
        <v>132</v>
      </c>
      <c r="N22" s="11">
        <v>485.56</v>
      </c>
      <c r="O22" s="11">
        <v>485.56</v>
      </c>
      <c r="P22" s="10" t="s">
        <v>132</v>
      </c>
      <c r="Q22" s="11">
        <v>485.56</v>
      </c>
      <c r="R22" s="10"/>
      <c r="S22" s="10"/>
      <c r="T22" s="10"/>
      <c r="U22" s="10"/>
      <c r="V22" s="10" t="s">
        <v>132</v>
      </c>
      <c r="W22" s="11">
        <v>485.56</v>
      </c>
      <c r="Z22" s="25"/>
    </row>
    <row r="23" spans="1:28" ht="15.75" x14ac:dyDescent="0.3">
      <c r="A23" s="10"/>
      <c r="B23" s="10"/>
      <c r="C23" s="10" t="s">
        <v>133</v>
      </c>
      <c r="D23" s="11">
        <v>113.46</v>
      </c>
      <c r="G23" s="10"/>
      <c r="H23" s="10"/>
      <c r="I23" s="10"/>
      <c r="J23" s="10"/>
      <c r="K23" s="10"/>
      <c r="L23" s="10"/>
      <c r="M23" s="10" t="s">
        <v>134</v>
      </c>
      <c r="N23" s="11">
        <v>114.68</v>
      </c>
      <c r="O23" s="11">
        <v>152.5</v>
      </c>
      <c r="P23" s="10" t="s">
        <v>134</v>
      </c>
      <c r="Q23" s="11">
        <v>114.68</v>
      </c>
      <c r="R23" s="10"/>
      <c r="S23" s="10"/>
      <c r="T23" s="10"/>
      <c r="U23" s="10"/>
      <c r="V23" s="10" t="s">
        <v>134</v>
      </c>
      <c r="W23" s="11">
        <v>114.68</v>
      </c>
      <c r="Z23" s="26"/>
    </row>
    <row r="24" spans="1:28" ht="15.75" x14ac:dyDescent="0.3">
      <c r="A24" s="10"/>
      <c r="B24" s="10"/>
      <c r="C24" s="10" t="s">
        <v>135</v>
      </c>
      <c r="D24" s="11">
        <v>58.56</v>
      </c>
      <c r="G24" s="10"/>
      <c r="H24" s="10"/>
      <c r="I24" s="10"/>
      <c r="J24" s="10"/>
      <c r="K24" s="10"/>
      <c r="L24" s="10"/>
      <c r="M24" s="10" t="s">
        <v>111</v>
      </c>
      <c r="N24" s="11">
        <v>76.86</v>
      </c>
      <c r="O24" s="11">
        <v>76.86</v>
      </c>
      <c r="P24" s="10" t="s">
        <v>111</v>
      </c>
      <c r="Q24" s="11">
        <v>76.86</v>
      </c>
      <c r="R24" s="10"/>
      <c r="S24" s="10"/>
      <c r="T24" s="10"/>
      <c r="U24" s="10"/>
      <c r="V24" s="10" t="s">
        <v>111</v>
      </c>
      <c r="W24" s="11">
        <v>76.86</v>
      </c>
      <c r="Z24" s="27"/>
    </row>
    <row r="25" spans="1:28" x14ac:dyDescent="0.25">
      <c r="A25" s="9"/>
      <c r="B25" s="9"/>
      <c r="C25" s="10" t="s">
        <v>136</v>
      </c>
      <c r="D25" s="11">
        <v>84.18</v>
      </c>
      <c r="G25" s="10"/>
      <c r="H25" s="10"/>
      <c r="I25" s="10"/>
      <c r="J25" s="10"/>
      <c r="K25" s="10"/>
      <c r="L25" s="10"/>
      <c r="M25" s="10" t="s">
        <v>70</v>
      </c>
      <c r="N25" s="11">
        <v>829.6</v>
      </c>
      <c r="O25" s="11">
        <v>915</v>
      </c>
      <c r="P25" s="10" t="s">
        <v>70</v>
      </c>
      <c r="Q25" s="11">
        <v>829.6</v>
      </c>
      <c r="R25" s="10"/>
      <c r="S25" s="10"/>
      <c r="T25" s="10"/>
      <c r="U25" s="10"/>
      <c r="V25" s="10" t="s">
        <v>70</v>
      </c>
      <c r="W25" s="11">
        <v>829.6</v>
      </c>
    </row>
    <row r="26" spans="1:28" x14ac:dyDescent="0.25">
      <c r="C26" s="10" t="s">
        <v>137</v>
      </c>
      <c r="D26" s="11">
        <v>219.6</v>
      </c>
      <c r="M26" s="10" t="s">
        <v>138</v>
      </c>
      <c r="N26" s="11">
        <v>37</v>
      </c>
      <c r="O26" s="11">
        <v>36.6</v>
      </c>
    </row>
    <row r="27" spans="1:28" x14ac:dyDescent="0.25">
      <c r="M27" s="10" t="s">
        <v>139</v>
      </c>
      <c r="N27" s="11">
        <v>39</v>
      </c>
      <c r="O27" s="11">
        <v>56.12</v>
      </c>
    </row>
    <row r="28" spans="1:28" x14ac:dyDescent="0.25">
      <c r="M28" s="10" t="s">
        <v>140</v>
      </c>
      <c r="N28" s="11">
        <v>28</v>
      </c>
      <c r="O28" s="11">
        <v>36.6</v>
      </c>
    </row>
    <row r="29" spans="1:28" x14ac:dyDescent="0.25">
      <c r="M29" s="10" t="s">
        <v>141</v>
      </c>
      <c r="N29" s="11">
        <v>37</v>
      </c>
      <c r="O29" s="11">
        <v>36.6</v>
      </c>
    </row>
    <row r="30" spans="1:28" x14ac:dyDescent="0.25">
      <c r="B30" s="64"/>
      <c r="M30" s="10" t="s">
        <v>142</v>
      </c>
      <c r="N30" s="11">
        <v>31</v>
      </c>
      <c r="O30" s="11"/>
    </row>
    <row r="31" spans="1:28" x14ac:dyDescent="0.25">
      <c r="N31" s="11" t="s">
        <v>143</v>
      </c>
    </row>
    <row r="32" spans="1:28" x14ac:dyDescent="0.25">
      <c r="F32" s="49"/>
    </row>
  </sheetData>
  <mergeCells count="11">
    <mergeCell ref="Z6:AA6"/>
    <mergeCell ref="X21:AA21"/>
    <mergeCell ref="X5:Y5"/>
    <mergeCell ref="A6:B6"/>
    <mergeCell ref="C6:D6"/>
    <mergeCell ref="E6:F6"/>
    <mergeCell ref="G6:H6"/>
    <mergeCell ref="I6:J6"/>
    <mergeCell ref="M6:N6"/>
    <mergeCell ref="V6:W6"/>
    <mergeCell ref="X6:Y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workbookViewId="0">
      <selection activeCell="C8" sqref="C8"/>
    </sheetView>
  </sheetViews>
  <sheetFormatPr baseColWidth="10" defaultColWidth="11.42578125" defaultRowHeight="15" x14ac:dyDescent="0.25"/>
  <cols>
    <col min="1" max="1" width="42.140625" customWidth="1"/>
    <col min="2" max="2" width="23.85546875" customWidth="1"/>
    <col min="3" max="3" width="28.7109375" customWidth="1"/>
    <col min="4" max="4" width="33.85546875" customWidth="1"/>
    <col min="5" max="5" width="17.140625" customWidth="1"/>
    <col min="6" max="6" width="22.42578125" customWidth="1"/>
    <col min="7" max="7" width="32.7109375" customWidth="1"/>
    <col min="8" max="9" width="20.28515625" customWidth="1"/>
    <col min="10" max="10" width="24" customWidth="1"/>
    <col min="11" max="11" width="18.28515625" customWidth="1"/>
    <col min="12" max="12" width="43.42578125" customWidth="1"/>
    <col min="13" max="13" width="20" customWidth="1"/>
    <col min="14" max="14" width="29.7109375" customWidth="1"/>
    <col min="15" max="15" width="26.85546875" customWidth="1"/>
    <col min="16" max="16" width="33.42578125" customWidth="1"/>
    <col min="17" max="17" width="22.28515625" customWidth="1"/>
    <col min="18" max="18" width="15.28515625" customWidth="1"/>
    <col min="19" max="19" width="30.28515625" customWidth="1"/>
    <col min="20" max="20" width="15.5703125" customWidth="1"/>
    <col min="21" max="21" width="19.42578125" customWidth="1"/>
    <col min="22" max="22" width="17.7109375" customWidth="1"/>
    <col min="23" max="23" width="32" customWidth="1"/>
    <col min="24" max="24" width="15.28515625" customWidth="1"/>
    <col min="25" max="25" width="15.85546875" customWidth="1"/>
    <col min="26" max="26" width="16.28515625" customWidth="1"/>
    <col min="27" max="27" width="20.28515625" customWidth="1"/>
    <col min="28" max="28" width="26.28515625" customWidth="1"/>
    <col min="29" max="29" width="18.7109375" customWidth="1"/>
    <col min="30" max="30" width="15.42578125" customWidth="1"/>
    <col min="31" max="31" width="18.85546875" customWidth="1"/>
  </cols>
  <sheetData>
    <row r="1" spans="1:29" x14ac:dyDescent="0.25">
      <c r="A1" s="3" t="s">
        <v>0</v>
      </c>
      <c r="B1" s="3"/>
      <c r="C1" s="3"/>
    </row>
    <row r="2" spans="1:29" ht="15.75" thickBot="1" x14ac:dyDescent="0.3"/>
    <row r="3" spans="1:29" ht="15.75" thickBot="1" x14ac:dyDescent="0.3">
      <c r="A3" s="2" t="s">
        <v>1</v>
      </c>
      <c r="B3" s="29"/>
      <c r="C3" s="29"/>
      <c r="D3" s="2" t="s">
        <v>1</v>
      </c>
      <c r="E3" s="32">
        <v>0.4</v>
      </c>
      <c r="F3" s="2" t="s">
        <v>1</v>
      </c>
      <c r="G3" s="51">
        <v>0.25</v>
      </c>
      <c r="H3" s="29" t="s">
        <v>1</v>
      </c>
      <c r="I3" s="4" t="s">
        <v>2</v>
      </c>
      <c r="J3" s="2" t="s">
        <v>1</v>
      </c>
      <c r="K3" s="4">
        <v>1</v>
      </c>
      <c r="L3" s="2" t="s">
        <v>1</v>
      </c>
      <c r="M3" s="4" t="s">
        <v>2</v>
      </c>
      <c r="N3" s="2" t="s">
        <v>1</v>
      </c>
      <c r="O3" s="29"/>
      <c r="P3" s="4">
        <v>0.25</v>
      </c>
      <c r="Q3" s="2" t="s">
        <v>1</v>
      </c>
      <c r="R3" s="8" t="s">
        <v>2</v>
      </c>
      <c r="S3" s="2" t="s">
        <v>1</v>
      </c>
      <c r="T3" s="4">
        <v>1</v>
      </c>
      <c r="U3" s="2" t="s">
        <v>1</v>
      </c>
      <c r="V3" s="8" t="s">
        <v>2</v>
      </c>
      <c r="W3" s="2" t="s">
        <v>1</v>
      </c>
      <c r="X3" s="8" t="s">
        <v>2</v>
      </c>
      <c r="Y3" s="2" t="s">
        <v>1</v>
      </c>
      <c r="Z3" s="8" t="s">
        <v>2</v>
      </c>
      <c r="AA3" s="2" t="s">
        <v>1</v>
      </c>
      <c r="AB3" s="28" t="s">
        <v>2</v>
      </c>
    </row>
    <row r="4" spans="1:29" ht="15.75" thickBot="1" x14ac:dyDescent="0.3">
      <c r="A4" s="1" t="s">
        <v>3</v>
      </c>
      <c r="B4" s="59"/>
      <c r="C4" s="59"/>
      <c r="F4" s="38"/>
    </row>
    <row r="5" spans="1:29" ht="15.75" thickBot="1" x14ac:dyDescent="0.3">
      <c r="A5" s="2" t="s">
        <v>4</v>
      </c>
      <c r="B5" s="29"/>
      <c r="C5" s="29" t="s">
        <v>5</v>
      </c>
      <c r="D5" s="2" t="s">
        <v>4</v>
      </c>
      <c r="E5" s="29" t="s">
        <v>6</v>
      </c>
      <c r="F5" s="2" t="s">
        <v>4</v>
      </c>
      <c r="G5" s="7" t="s">
        <v>7</v>
      </c>
      <c r="H5" s="29" t="s">
        <v>4</v>
      </c>
      <c r="I5" s="7" t="s">
        <v>8</v>
      </c>
      <c r="J5" s="2" t="s">
        <v>4</v>
      </c>
      <c r="K5" s="7" t="s">
        <v>8</v>
      </c>
      <c r="L5" s="2" t="s">
        <v>9</v>
      </c>
      <c r="M5" s="7" t="s">
        <v>8</v>
      </c>
      <c r="N5" s="2" t="s">
        <v>4</v>
      </c>
      <c r="O5" s="29"/>
      <c r="P5" s="7" t="s">
        <v>10</v>
      </c>
      <c r="Q5" s="2" t="s">
        <v>11</v>
      </c>
      <c r="R5" s="7" t="s">
        <v>8</v>
      </c>
      <c r="S5" s="2" t="s">
        <v>4</v>
      </c>
      <c r="T5" s="7" t="s">
        <v>8</v>
      </c>
      <c r="U5" s="2" t="s">
        <v>12</v>
      </c>
      <c r="V5" s="7" t="s">
        <v>8</v>
      </c>
      <c r="W5" s="2" t="s">
        <v>13</v>
      </c>
      <c r="X5" s="7" t="s">
        <v>8</v>
      </c>
      <c r="Y5" s="101" t="s">
        <v>14</v>
      </c>
      <c r="Z5" s="102"/>
      <c r="AA5" s="23" t="s">
        <v>4</v>
      </c>
      <c r="AB5" s="24"/>
    </row>
    <row r="6" spans="1:29" x14ac:dyDescent="0.25">
      <c r="A6" s="107" t="s">
        <v>15</v>
      </c>
      <c r="B6" s="107"/>
      <c r="C6" s="107"/>
      <c r="D6" s="105" t="s">
        <v>16</v>
      </c>
      <c r="E6" s="105"/>
      <c r="F6" s="106" t="s">
        <v>17</v>
      </c>
      <c r="G6" s="105"/>
      <c r="H6" s="95" t="s">
        <v>18</v>
      </c>
      <c r="I6" s="95"/>
      <c r="J6" s="105" t="s">
        <v>19</v>
      </c>
      <c r="K6" s="105"/>
      <c r="L6" s="17" t="s">
        <v>20</v>
      </c>
      <c r="M6" s="17"/>
      <c r="N6" s="95" t="s">
        <v>21</v>
      </c>
      <c r="O6" s="95"/>
      <c r="P6" s="17"/>
      <c r="Q6" s="17" t="s">
        <v>22</v>
      </c>
      <c r="R6" s="17"/>
      <c r="S6" s="17" t="s">
        <v>23</v>
      </c>
      <c r="T6" s="17"/>
      <c r="U6" s="17" t="s">
        <v>24</v>
      </c>
      <c r="V6" s="17"/>
      <c r="W6" s="95" t="s">
        <v>25</v>
      </c>
      <c r="X6" s="95"/>
      <c r="Y6" s="95" t="s">
        <v>26</v>
      </c>
      <c r="Z6" s="95"/>
      <c r="AA6" s="95" t="s">
        <v>27</v>
      </c>
      <c r="AB6" s="95"/>
    </row>
    <row r="7" spans="1:29" x14ac:dyDescent="0.25">
      <c r="A7" s="9" t="s">
        <v>28</v>
      </c>
      <c r="B7" s="9"/>
      <c r="C7" s="66" t="s">
        <v>29</v>
      </c>
      <c r="D7" s="9" t="s">
        <v>28</v>
      </c>
      <c r="E7" s="33" t="s">
        <v>30</v>
      </c>
      <c r="F7" s="40" t="s">
        <v>28</v>
      </c>
      <c r="G7" s="53" t="s">
        <v>30</v>
      </c>
      <c r="H7" s="36" t="s">
        <v>28</v>
      </c>
      <c r="I7" s="12" t="s">
        <v>30</v>
      </c>
      <c r="J7" s="9" t="s">
        <v>28</v>
      </c>
      <c r="K7" s="9" t="s">
        <v>30</v>
      </c>
      <c r="L7" s="9" t="s">
        <v>28</v>
      </c>
      <c r="M7" s="9" t="s">
        <v>31</v>
      </c>
      <c r="N7" s="9" t="s">
        <v>28</v>
      </c>
      <c r="O7" s="9" t="s">
        <v>31</v>
      </c>
      <c r="P7" s="63" t="s">
        <v>29</v>
      </c>
      <c r="Q7" s="9" t="s">
        <v>28</v>
      </c>
      <c r="R7" s="9" t="s">
        <v>31</v>
      </c>
      <c r="S7" s="9" t="s">
        <v>28</v>
      </c>
      <c r="T7" s="9" t="s">
        <v>31</v>
      </c>
      <c r="U7" s="9" t="s">
        <v>28</v>
      </c>
      <c r="V7" s="9" t="s">
        <v>31</v>
      </c>
      <c r="W7" s="9" t="s">
        <v>28</v>
      </c>
      <c r="X7" s="9" t="s">
        <v>31</v>
      </c>
      <c r="Y7" s="9" t="s">
        <v>32</v>
      </c>
      <c r="Z7" s="9" t="s">
        <v>33</v>
      </c>
      <c r="AA7" s="9" t="s">
        <v>32</v>
      </c>
      <c r="AB7" s="9" t="s">
        <v>34</v>
      </c>
      <c r="AC7" s="9" t="s">
        <v>35</v>
      </c>
    </row>
    <row r="8" spans="1:29" x14ac:dyDescent="0.25">
      <c r="A8" s="10" t="s">
        <v>36</v>
      </c>
      <c r="B8" s="13">
        <v>274.36</v>
      </c>
      <c r="C8" s="42">
        <v>285.2</v>
      </c>
      <c r="D8" s="10" t="s">
        <v>37</v>
      </c>
      <c r="E8" s="34">
        <v>132.97999999999999</v>
      </c>
      <c r="F8" s="41" t="s">
        <v>38</v>
      </c>
      <c r="G8" s="52">
        <v>100</v>
      </c>
      <c r="H8" s="37" t="s">
        <v>39</v>
      </c>
      <c r="I8" s="13">
        <v>103.7</v>
      </c>
      <c r="J8" s="10" t="s">
        <v>40</v>
      </c>
      <c r="K8" s="11">
        <v>128.1</v>
      </c>
      <c r="L8" s="10" t="s">
        <v>41</v>
      </c>
      <c r="M8" s="11">
        <v>103.7</v>
      </c>
      <c r="N8" s="10" t="s">
        <v>42</v>
      </c>
      <c r="O8" s="11">
        <v>86.62</v>
      </c>
      <c r="P8" s="11">
        <v>97.6</v>
      </c>
      <c r="Q8" s="10" t="s">
        <v>42</v>
      </c>
      <c r="R8" s="11">
        <v>86.62</v>
      </c>
      <c r="S8" s="10" t="s">
        <v>43</v>
      </c>
      <c r="T8" s="11">
        <v>90</v>
      </c>
      <c r="U8" s="10" t="s">
        <v>43</v>
      </c>
      <c r="V8" s="11">
        <v>97.6</v>
      </c>
      <c r="W8" s="10" t="s">
        <v>42</v>
      </c>
      <c r="X8" s="11">
        <v>86.62</v>
      </c>
      <c r="Y8" s="10" t="s">
        <v>39</v>
      </c>
      <c r="Z8" s="10">
        <v>122</v>
      </c>
      <c r="AA8" s="10" t="s">
        <v>44</v>
      </c>
      <c r="AB8" s="10">
        <v>87.84</v>
      </c>
      <c r="AC8" s="10">
        <v>112.24</v>
      </c>
    </row>
    <row r="9" spans="1:29" x14ac:dyDescent="0.25">
      <c r="A9" s="10" t="s">
        <v>45</v>
      </c>
      <c r="B9" s="13">
        <v>383.58</v>
      </c>
      <c r="C9" s="42">
        <v>398.73</v>
      </c>
      <c r="D9" s="10" t="s">
        <v>46</v>
      </c>
      <c r="E9" s="34">
        <v>179.34</v>
      </c>
      <c r="F9" s="41" t="s">
        <v>47</v>
      </c>
      <c r="G9" s="52">
        <v>60</v>
      </c>
      <c r="H9" s="37" t="s">
        <v>48</v>
      </c>
      <c r="I9" s="13">
        <v>140.30000000000001</v>
      </c>
      <c r="J9" s="10" t="s">
        <v>49</v>
      </c>
      <c r="K9" s="11">
        <v>103.7</v>
      </c>
      <c r="L9" s="10" t="s">
        <v>50</v>
      </c>
      <c r="M9" s="11">
        <v>146.4</v>
      </c>
      <c r="N9" s="10" t="s">
        <v>51</v>
      </c>
      <c r="O9" s="11">
        <v>129.32</v>
      </c>
      <c r="P9" s="11">
        <v>146.4</v>
      </c>
      <c r="Q9" s="10" t="s">
        <v>51</v>
      </c>
      <c r="R9" s="11">
        <v>129.32</v>
      </c>
      <c r="S9" s="10" t="s">
        <v>52</v>
      </c>
      <c r="T9" s="11">
        <v>90</v>
      </c>
      <c r="U9" s="10" t="s">
        <v>39</v>
      </c>
      <c r="V9" s="11">
        <v>73.2</v>
      </c>
      <c r="W9" s="10" t="s">
        <v>51</v>
      </c>
      <c r="X9" s="11">
        <v>129.32</v>
      </c>
      <c r="Y9" s="10" t="s">
        <v>48</v>
      </c>
      <c r="Z9" s="10">
        <v>146.4</v>
      </c>
      <c r="AA9" s="10" t="s">
        <v>53</v>
      </c>
      <c r="AB9" s="10">
        <v>106.14</v>
      </c>
      <c r="AC9" s="10">
        <v>130.54</v>
      </c>
    </row>
    <row r="10" spans="1:29" x14ac:dyDescent="0.25">
      <c r="A10" s="10" t="s">
        <v>54</v>
      </c>
      <c r="B10" s="13">
        <v>411.55</v>
      </c>
      <c r="C10" s="42">
        <v>427.81</v>
      </c>
      <c r="D10" s="10" t="s">
        <v>54</v>
      </c>
      <c r="E10" s="34">
        <v>463.6</v>
      </c>
      <c r="F10" s="41" t="s">
        <v>55</v>
      </c>
      <c r="G10" s="52">
        <v>90</v>
      </c>
      <c r="H10" s="37" t="s">
        <v>56</v>
      </c>
      <c r="I10" s="13">
        <v>280.60000000000002</v>
      </c>
      <c r="J10" s="10" t="s">
        <v>57</v>
      </c>
      <c r="K10" s="11">
        <v>103.7</v>
      </c>
      <c r="L10" s="10" t="s">
        <v>58</v>
      </c>
      <c r="M10" s="11">
        <v>305</v>
      </c>
      <c r="N10" s="10" t="s">
        <v>59</v>
      </c>
      <c r="O10" s="11">
        <v>167.14</v>
      </c>
      <c r="P10" s="11">
        <v>219.6</v>
      </c>
      <c r="Q10" s="10" t="s">
        <v>59</v>
      </c>
      <c r="R10" s="11">
        <v>167.14</v>
      </c>
      <c r="S10" s="10" t="s">
        <v>60</v>
      </c>
      <c r="T10" s="11">
        <v>100</v>
      </c>
      <c r="U10" s="10" t="s">
        <v>48</v>
      </c>
      <c r="V10" s="11">
        <v>85.4</v>
      </c>
      <c r="W10" s="10" t="s">
        <v>59</v>
      </c>
      <c r="X10" s="11">
        <v>167.14</v>
      </c>
      <c r="Y10" s="10" t="s">
        <v>56</v>
      </c>
      <c r="Z10" s="10">
        <v>427</v>
      </c>
      <c r="AA10" s="10" t="s">
        <v>61</v>
      </c>
      <c r="AB10" s="10">
        <v>231.79999999999998</v>
      </c>
      <c r="AC10" s="10">
        <v>256.2</v>
      </c>
    </row>
    <row r="11" spans="1:29" x14ac:dyDescent="0.25">
      <c r="A11" s="10" t="s">
        <v>62</v>
      </c>
      <c r="B11" s="13">
        <v>1373.16</v>
      </c>
      <c r="C11" s="42">
        <v>1427.4</v>
      </c>
      <c r="D11" s="10" t="s">
        <v>63</v>
      </c>
      <c r="E11" s="34">
        <v>1018.7</v>
      </c>
      <c r="F11" s="41" t="s">
        <v>57</v>
      </c>
      <c r="G11" s="52">
        <v>120</v>
      </c>
      <c r="H11" s="37" t="s">
        <v>64</v>
      </c>
      <c r="I11" s="13">
        <v>225.7</v>
      </c>
      <c r="J11" s="10" t="s">
        <v>65</v>
      </c>
      <c r="K11" s="11">
        <v>115.9</v>
      </c>
      <c r="L11" s="10" t="s">
        <v>66</v>
      </c>
      <c r="M11" s="11">
        <v>829.6</v>
      </c>
      <c r="N11" s="10" t="s">
        <v>67</v>
      </c>
      <c r="O11" s="11">
        <v>86.62</v>
      </c>
      <c r="P11" s="11">
        <v>97.6</v>
      </c>
      <c r="Q11" s="10" t="s">
        <v>67</v>
      </c>
      <c r="R11" s="11">
        <v>86.62</v>
      </c>
      <c r="S11" s="10" t="s">
        <v>56</v>
      </c>
      <c r="T11" s="11">
        <v>200</v>
      </c>
      <c r="U11" s="10" t="s">
        <v>56</v>
      </c>
      <c r="V11" s="11">
        <v>183</v>
      </c>
      <c r="W11" s="10" t="s">
        <v>67</v>
      </c>
      <c r="X11" s="11">
        <v>86.62</v>
      </c>
      <c r="Y11" s="10" t="s">
        <v>68</v>
      </c>
      <c r="Z11" s="10">
        <v>488</v>
      </c>
      <c r="AA11" s="10" t="s">
        <v>69</v>
      </c>
      <c r="AB11" s="10">
        <v>463.59999999999997</v>
      </c>
      <c r="AC11" s="10">
        <v>488</v>
      </c>
    </row>
    <row r="12" spans="1:29" x14ac:dyDescent="0.25">
      <c r="A12" s="10" t="s">
        <v>70</v>
      </c>
      <c r="B12" s="13">
        <v>1957.86</v>
      </c>
      <c r="C12" s="42">
        <v>2035.2</v>
      </c>
      <c r="D12" s="10" t="s">
        <v>71</v>
      </c>
      <c r="E12" s="34">
        <v>1683.6</v>
      </c>
      <c r="F12" s="41" t="s">
        <v>72</v>
      </c>
      <c r="G12" s="52">
        <v>200</v>
      </c>
      <c r="H12" s="37" t="s">
        <v>73</v>
      </c>
      <c r="I12" s="13">
        <v>622.20000000000005</v>
      </c>
      <c r="J12" s="10" t="s">
        <v>58</v>
      </c>
      <c r="K12" s="11">
        <v>244</v>
      </c>
      <c r="L12" s="10" t="s">
        <v>74</v>
      </c>
      <c r="M12" s="11">
        <v>1018.7</v>
      </c>
      <c r="N12" s="10" t="s">
        <v>75</v>
      </c>
      <c r="O12" s="11">
        <v>114.68</v>
      </c>
      <c r="P12" s="11">
        <v>152.5</v>
      </c>
      <c r="Q12" s="10" t="s">
        <v>75</v>
      </c>
      <c r="R12" s="11">
        <v>114.68</v>
      </c>
      <c r="S12" s="10" t="s">
        <v>76</v>
      </c>
      <c r="T12" s="11">
        <v>180</v>
      </c>
      <c r="U12" s="10" t="s">
        <v>77</v>
      </c>
      <c r="V12" s="11">
        <v>610</v>
      </c>
      <c r="W12" s="10" t="s">
        <v>75</v>
      </c>
      <c r="X12" s="11">
        <v>114.68</v>
      </c>
      <c r="Y12" s="10" t="s">
        <v>78</v>
      </c>
      <c r="Z12" s="10">
        <v>1098</v>
      </c>
      <c r="AA12" s="10" t="s">
        <v>79</v>
      </c>
      <c r="AB12" s="10">
        <v>829.6</v>
      </c>
      <c r="AC12" s="10">
        <v>854</v>
      </c>
    </row>
    <row r="13" spans="1:29" x14ac:dyDescent="0.25">
      <c r="A13" s="10" t="s">
        <v>80</v>
      </c>
      <c r="B13" s="13">
        <v>175.81</v>
      </c>
      <c r="C13" s="42">
        <v>182.75</v>
      </c>
      <c r="D13" s="18" t="s">
        <v>81</v>
      </c>
      <c r="E13" s="35">
        <v>4026</v>
      </c>
      <c r="F13" s="41" t="s">
        <v>82</v>
      </c>
      <c r="G13" s="52">
        <v>200</v>
      </c>
      <c r="H13" s="37" t="s">
        <v>83</v>
      </c>
      <c r="I13" s="13">
        <v>969.9</v>
      </c>
      <c r="J13" s="10" t="s">
        <v>84</v>
      </c>
      <c r="K13" s="11">
        <v>134.19999999999999</v>
      </c>
      <c r="L13" s="10" t="s">
        <v>40</v>
      </c>
      <c r="M13" s="11">
        <v>146.4</v>
      </c>
      <c r="N13" s="10" t="s">
        <v>85</v>
      </c>
      <c r="O13" s="11">
        <v>86.62</v>
      </c>
      <c r="P13" s="11">
        <v>97.6</v>
      </c>
      <c r="Q13" s="10" t="s">
        <v>85</v>
      </c>
      <c r="R13" s="11">
        <v>86.62</v>
      </c>
      <c r="S13" s="10" t="s">
        <v>78</v>
      </c>
      <c r="T13" s="11">
        <v>445</v>
      </c>
      <c r="U13" s="10" t="s">
        <v>78</v>
      </c>
      <c r="V13" s="11">
        <v>366</v>
      </c>
      <c r="W13" s="10" t="s">
        <v>85</v>
      </c>
      <c r="X13" s="11">
        <v>86.62</v>
      </c>
      <c r="Y13" s="10" t="s">
        <v>86</v>
      </c>
      <c r="Z13" s="10">
        <v>1586</v>
      </c>
      <c r="AA13" s="10" t="s">
        <v>87</v>
      </c>
      <c r="AB13" s="10">
        <v>1000.4</v>
      </c>
      <c r="AC13" s="10">
        <v>1024.8</v>
      </c>
    </row>
    <row r="14" spans="1:29" x14ac:dyDescent="0.25">
      <c r="A14" s="10" t="s">
        <v>88</v>
      </c>
      <c r="B14" s="13">
        <v>351.62</v>
      </c>
      <c r="C14" s="42">
        <v>365.51</v>
      </c>
      <c r="D14" s="10" t="s">
        <v>89</v>
      </c>
      <c r="E14" s="34">
        <v>231.8</v>
      </c>
      <c r="F14" s="41" t="s">
        <v>83</v>
      </c>
      <c r="G14" s="52">
        <v>650</v>
      </c>
      <c r="H14" s="37" t="s">
        <v>40</v>
      </c>
      <c r="I14" s="13">
        <v>176.9</v>
      </c>
      <c r="J14" s="10" t="s">
        <v>70</v>
      </c>
      <c r="K14" s="11">
        <v>976</v>
      </c>
      <c r="L14" s="10" t="s">
        <v>90</v>
      </c>
      <c r="M14" s="11">
        <v>134.19999999999999</v>
      </c>
      <c r="N14" s="10" t="s">
        <v>91</v>
      </c>
      <c r="O14" s="11">
        <v>1493.28</v>
      </c>
      <c r="P14" s="11">
        <v>1342</v>
      </c>
      <c r="Q14" s="10" t="s">
        <v>91</v>
      </c>
      <c r="R14" s="11">
        <v>1493.28</v>
      </c>
      <c r="S14" s="10" t="s">
        <v>77</v>
      </c>
      <c r="T14" s="11">
        <v>665</v>
      </c>
      <c r="U14" s="10" t="s">
        <v>40</v>
      </c>
      <c r="V14" s="11">
        <v>97.6</v>
      </c>
      <c r="W14" s="10" t="s">
        <v>91</v>
      </c>
      <c r="X14" s="11">
        <v>1493.28</v>
      </c>
      <c r="Y14" s="10" t="s">
        <v>92</v>
      </c>
      <c r="Z14" s="10">
        <v>128.1</v>
      </c>
      <c r="AA14" s="10" t="s">
        <v>93</v>
      </c>
      <c r="AB14" s="10">
        <v>146.4</v>
      </c>
      <c r="AC14" s="10">
        <v>195.2</v>
      </c>
    </row>
    <row r="15" spans="1:29" x14ac:dyDescent="0.25">
      <c r="A15" s="10" t="s">
        <v>94</v>
      </c>
      <c r="B15" s="13">
        <v>257.05</v>
      </c>
      <c r="C15" s="42">
        <v>267.2</v>
      </c>
      <c r="D15" s="10" t="s">
        <v>95</v>
      </c>
      <c r="E15" s="34">
        <v>308.66000000000003</v>
      </c>
      <c r="F15" s="41" t="s">
        <v>70</v>
      </c>
      <c r="G15" s="52">
        <v>550</v>
      </c>
      <c r="H15" s="37" t="s">
        <v>96</v>
      </c>
      <c r="I15" s="13">
        <v>683.2</v>
      </c>
      <c r="J15" s="10" t="s">
        <v>97</v>
      </c>
      <c r="K15" s="11">
        <v>634.4</v>
      </c>
      <c r="L15" s="10" t="s">
        <v>98</v>
      </c>
      <c r="M15" s="11">
        <v>134.19999999999999</v>
      </c>
      <c r="N15" s="10" t="s">
        <v>99</v>
      </c>
      <c r="O15" s="11">
        <v>101.26</v>
      </c>
      <c r="P15" s="11">
        <v>122</v>
      </c>
      <c r="Q15" s="10" t="s">
        <v>99</v>
      </c>
      <c r="R15" s="11">
        <v>101.26</v>
      </c>
      <c r="S15" s="10" t="s">
        <v>100</v>
      </c>
      <c r="T15" s="11">
        <v>85</v>
      </c>
      <c r="U15" s="10"/>
      <c r="V15" s="10"/>
      <c r="W15" s="10" t="s">
        <v>99</v>
      </c>
      <c r="X15" s="11">
        <v>101.26</v>
      </c>
      <c r="Y15" s="10" t="s">
        <v>101</v>
      </c>
      <c r="Z15" s="10">
        <v>213.5</v>
      </c>
      <c r="AA15" s="10" t="s">
        <v>102</v>
      </c>
      <c r="AB15" s="10">
        <v>195.2</v>
      </c>
      <c r="AC15" s="10">
        <v>219.6</v>
      </c>
    </row>
    <row r="16" spans="1:29" x14ac:dyDescent="0.25">
      <c r="A16" s="10" t="s">
        <v>103</v>
      </c>
      <c r="B16" s="13">
        <v>340.96</v>
      </c>
      <c r="C16" s="42">
        <v>354.43</v>
      </c>
      <c r="D16" s="10" t="s">
        <v>104</v>
      </c>
      <c r="E16" s="34">
        <v>231.8</v>
      </c>
      <c r="F16" s="41"/>
      <c r="G16" s="22"/>
      <c r="H16" s="37" t="s">
        <v>43</v>
      </c>
      <c r="I16" s="13">
        <v>122</v>
      </c>
      <c r="J16" s="10" t="s">
        <v>106</v>
      </c>
      <c r="K16" s="11">
        <v>1024.8</v>
      </c>
      <c r="L16" s="10"/>
      <c r="M16" s="10"/>
      <c r="N16" s="10" t="s">
        <v>107</v>
      </c>
      <c r="O16" s="11">
        <v>86.62</v>
      </c>
      <c r="P16" s="11">
        <v>97.6</v>
      </c>
      <c r="Q16" s="10" t="s">
        <v>107</v>
      </c>
      <c r="R16" s="11">
        <v>86.62</v>
      </c>
      <c r="S16" s="10" t="s">
        <v>108</v>
      </c>
      <c r="T16" s="11">
        <v>125</v>
      </c>
      <c r="U16" s="10"/>
      <c r="V16" s="10"/>
      <c r="W16" s="10" t="s">
        <v>107</v>
      </c>
      <c r="X16" s="11">
        <v>86.62</v>
      </c>
      <c r="Y16" s="10" t="s">
        <v>109</v>
      </c>
      <c r="Z16" s="10">
        <v>1037</v>
      </c>
      <c r="AA16" s="10" t="s">
        <v>110</v>
      </c>
      <c r="AB16" s="10">
        <v>268.39999999999998</v>
      </c>
      <c r="AC16" s="10">
        <v>292.8</v>
      </c>
    </row>
    <row r="17" spans="1:29" ht="15.75" thickBot="1" x14ac:dyDescent="0.3">
      <c r="A17" s="10"/>
      <c r="B17" s="13"/>
      <c r="C17" s="65"/>
      <c r="D17" s="10" t="s">
        <v>111</v>
      </c>
      <c r="E17" s="34">
        <v>113.46</v>
      </c>
      <c r="F17" s="44"/>
      <c r="G17" s="46"/>
      <c r="H17" s="37"/>
      <c r="I17" s="10"/>
      <c r="J17" s="10" t="s">
        <v>112</v>
      </c>
      <c r="K17" s="11">
        <v>1207.8</v>
      </c>
      <c r="L17" s="10"/>
      <c r="M17" s="10"/>
      <c r="N17" s="10" t="s">
        <v>113</v>
      </c>
      <c r="O17" s="11">
        <v>212.28</v>
      </c>
      <c r="P17" s="11">
        <v>233.5</v>
      </c>
      <c r="Q17" s="10" t="s">
        <v>114</v>
      </c>
      <c r="R17" s="11">
        <v>212.28</v>
      </c>
      <c r="S17" s="10" t="s">
        <v>115</v>
      </c>
      <c r="T17" s="11">
        <v>100</v>
      </c>
      <c r="U17" s="10"/>
      <c r="V17" s="10"/>
      <c r="W17" s="10" t="s">
        <v>114</v>
      </c>
      <c r="X17" s="11">
        <v>212.28</v>
      </c>
      <c r="Y17" s="10" t="s">
        <v>104</v>
      </c>
      <c r="Z17" s="10">
        <v>152.5</v>
      </c>
      <c r="AA17" s="10" t="s">
        <v>116</v>
      </c>
      <c r="AB17" s="10">
        <v>183</v>
      </c>
      <c r="AC17" s="10">
        <v>207.4</v>
      </c>
    </row>
    <row r="18" spans="1:29" x14ac:dyDescent="0.25">
      <c r="A18" s="10"/>
      <c r="B18" s="10"/>
      <c r="C18" s="10"/>
      <c r="D18" s="10" t="s">
        <v>70</v>
      </c>
      <c r="E18" s="11">
        <v>1244.4000000000001</v>
      </c>
      <c r="H18" s="10"/>
      <c r="I18" s="10"/>
      <c r="J18" s="10" t="s">
        <v>117</v>
      </c>
      <c r="K18" s="11">
        <v>3416</v>
      </c>
      <c r="L18" s="10"/>
      <c r="M18" s="10"/>
      <c r="N18" s="10" t="s">
        <v>118</v>
      </c>
      <c r="O18" s="11">
        <v>668.56</v>
      </c>
      <c r="P18" s="11">
        <v>1098</v>
      </c>
      <c r="Q18" s="10" t="s">
        <v>119</v>
      </c>
      <c r="R18" s="11">
        <v>668.56</v>
      </c>
      <c r="S18" s="10" t="s">
        <v>70</v>
      </c>
      <c r="T18" s="11">
        <v>600</v>
      </c>
      <c r="U18" s="10"/>
      <c r="V18" s="10"/>
      <c r="W18" s="10" t="s">
        <v>119</v>
      </c>
      <c r="X18" s="11">
        <v>668.56</v>
      </c>
      <c r="Y18" s="10" t="s">
        <v>120</v>
      </c>
      <c r="Z18" s="10">
        <v>152.5</v>
      </c>
      <c r="AA18" s="10" t="s">
        <v>121</v>
      </c>
      <c r="AB18" s="10">
        <v>244</v>
      </c>
      <c r="AC18" s="10">
        <v>268.39999999999998</v>
      </c>
    </row>
    <row r="19" spans="1:29" x14ac:dyDescent="0.25">
      <c r="A19" s="10" t="s">
        <v>122</v>
      </c>
      <c r="B19" s="10"/>
      <c r="C19" s="10"/>
      <c r="D19" s="10" t="s">
        <v>43</v>
      </c>
      <c r="E19" s="11">
        <v>164.7</v>
      </c>
      <c r="H19" s="10"/>
      <c r="I19" s="9"/>
      <c r="J19" s="10"/>
      <c r="K19" s="10"/>
      <c r="L19" s="10"/>
      <c r="M19" s="10"/>
      <c r="N19" s="10" t="s">
        <v>123</v>
      </c>
      <c r="O19" s="11">
        <v>334.28</v>
      </c>
      <c r="P19" s="11">
        <v>549</v>
      </c>
      <c r="Q19" s="10" t="s">
        <v>124</v>
      </c>
      <c r="R19" s="11">
        <v>334.28</v>
      </c>
      <c r="S19" s="10"/>
      <c r="T19" s="10"/>
      <c r="U19" s="10"/>
      <c r="V19" s="10"/>
      <c r="W19" s="10" t="s">
        <v>124</v>
      </c>
      <c r="X19" s="11">
        <v>334.28</v>
      </c>
      <c r="AA19" s="10" t="s">
        <v>125</v>
      </c>
      <c r="AB19" s="10">
        <v>976</v>
      </c>
      <c r="AC19" s="10">
        <v>1000.4</v>
      </c>
    </row>
    <row r="20" spans="1:29" x14ac:dyDescent="0.25">
      <c r="A20" s="10"/>
      <c r="B20" s="10"/>
      <c r="C20" s="10"/>
      <c r="D20" s="22" t="s">
        <v>126</v>
      </c>
      <c r="E20" s="13">
        <v>2147.1999999999998</v>
      </c>
      <c r="H20" s="10"/>
      <c r="I20" s="10"/>
      <c r="J20" s="10"/>
      <c r="K20" s="10"/>
      <c r="L20" s="10"/>
      <c r="M20" s="10"/>
      <c r="N20" s="10" t="s">
        <v>127</v>
      </c>
      <c r="O20" s="11">
        <v>217.16</v>
      </c>
      <c r="P20" s="11">
        <v>244</v>
      </c>
      <c r="Q20" s="10" t="s">
        <v>127</v>
      </c>
      <c r="R20" s="11">
        <v>217.16</v>
      </c>
      <c r="S20" s="10"/>
      <c r="T20" s="10"/>
      <c r="U20" s="10"/>
      <c r="V20" s="10"/>
      <c r="W20" s="10" t="s">
        <v>127</v>
      </c>
      <c r="X20" s="11">
        <v>217.16</v>
      </c>
      <c r="AA20" s="10" t="s">
        <v>128</v>
      </c>
      <c r="AB20" s="10">
        <v>183</v>
      </c>
      <c r="AC20" s="10">
        <v>207.4</v>
      </c>
    </row>
    <row r="21" spans="1:29" x14ac:dyDescent="0.25">
      <c r="B21" s="10"/>
      <c r="C21" s="10"/>
      <c r="D21" s="22" t="s">
        <v>129</v>
      </c>
      <c r="E21" s="13">
        <v>2416</v>
      </c>
      <c r="H21" s="10"/>
      <c r="I21" s="10"/>
      <c r="J21" s="10"/>
      <c r="K21" s="10"/>
      <c r="L21" s="10"/>
      <c r="M21" s="10"/>
      <c r="N21" s="10" t="s">
        <v>130</v>
      </c>
      <c r="O21" s="11">
        <v>1050.42</v>
      </c>
      <c r="P21" s="11">
        <v>1050.42</v>
      </c>
      <c r="Q21" s="10" t="s">
        <v>130</v>
      </c>
      <c r="R21" s="11">
        <v>1050.42</v>
      </c>
      <c r="S21" s="10"/>
      <c r="T21" s="10"/>
      <c r="U21" s="10"/>
      <c r="V21" s="10"/>
      <c r="W21" s="10" t="s">
        <v>130</v>
      </c>
      <c r="X21" s="11">
        <v>1050.42</v>
      </c>
      <c r="Y21" s="96"/>
      <c r="Z21" s="96"/>
      <c r="AA21" s="96"/>
      <c r="AB21" s="96"/>
    </row>
    <row r="22" spans="1:29" ht="18" x14ac:dyDescent="0.35">
      <c r="A22" s="10"/>
      <c r="B22" s="10"/>
      <c r="C22" s="10"/>
      <c r="D22" s="10" t="s">
        <v>131</v>
      </c>
      <c r="E22" s="11">
        <v>58.56</v>
      </c>
      <c r="H22" s="10"/>
      <c r="I22" s="10"/>
      <c r="J22" s="10"/>
      <c r="K22" s="10"/>
      <c r="L22" s="10"/>
      <c r="M22" s="10"/>
      <c r="N22" s="10" t="s">
        <v>132</v>
      </c>
      <c r="O22" s="11">
        <v>485.56</v>
      </c>
      <c r="P22" s="11">
        <v>485.56</v>
      </c>
      <c r="Q22" s="10" t="s">
        <v>132</v>
      </c>
      <c r="R22" s="11">
        <v>485.56</v>
      </c>
      <c r="S22" s="10"/>
      <c r="T22" s="10"/>
      <c r="U22" s="10"/>
      <c r="V22" s="10"/>
      <c r="W22" s="10" t="s">
        <v>132</v>
      </c>
      <c r="X22" s="11">
        <v>485.56</v>
      </c>
      <c r="AA22" s="25"/>
    </row>
    <row r="23" spans="1:29" ht="15.75" x14ac:dyDescent="0.3">
      <c r="A23" s="10"/>
      <c r="B23" s="10"/>
      <c r="C23" s="10"/>
      <c r="D23" s="10" t="s">
        <v>133</v>
      </c>
      <c r="E23" s="11">
        <v>113.46</v>
      </c>
      <c r="H23" s="10"/>
      <c r="I23" s="10"/>
      <c r="J23" s="10"/>
      <c r="K23" s="10"/>
      <c r="L23" s="10"/>
      <c r="M23" s="10"/>
      <c r="N23" s="10" t="s">
        <v>134</v>
      </c>
      <c r="O23" s="11">
        <v>114.68</v>
      </c>
      <c r="P23" s="11">
        <v>152.5</v>
      </c>
      <c r="Q23" s="10" t="s">
        <v>134</v>
      </c>
      <c r="R23" s="11">
        <v>114.68</v>
      </c>
      <c r="S23" s="10"/>
      <c r="T23" s="10"/>
      <c r="U23" s="10"/>
      <c r="V23" s="10"/>
      <c r="W23" s="10" t="s">
        <v>134</v>
      </c>
      <c r="X23" s="11">
        <v>114.68</v>
      </c>
      <c r="AA23" s="26"/>
    </row>
    <row r="24" spans="1:29" ht="15.75" x14ac:dyDescent="0.3">
      <c r="A24" s="10"/>
      <c r="B24" s="10"/>
      <c r="C24" s="10"/>
      <c r="D24" s="10" t="s">
        <v>135</v>
      </c>
      <c r="E24" s="11">
        <v>58.56</v>
      </c>
      <c r="H24" s="10"/>
      <c r="I24" s="10"/>
      <c r="J24" s="10"/>
      <c r="K24" s="10"/>
      <c r="L24" s="10"/>
      <c r="M24" s="10"/>
      <c r="N24" s="10" t="s">
        <v>111</v>
      </c>
      <c r="O24" s="11">
        <v>76.86</v>
      </c>
      <c r="P24" s="11">
        <v>76.86</v>
      </c>
      <c r="Q24" s="10" t="s">
        <v>111</v>
      </c>
      <c r="R24" s="11">
        <v>76.86</v>
      </c>
      <c r="S24" s="10"/>
      <c r="T24" s="10"/>
      <c r="U24" s="10"/>
      <c r="V24" s="10"/>
      <c r="W24" s="10" t="s">
        <v>111</v>
      </c>
      <c r="X24" s="11">
        <v>76.86</v>
      </c>
      <c r="AA24" s="27"/>
    </row>
    <row r="25" spans="1:29" x14ac:dyDescent="0.25">
      <c r="A25" s="9"/>
      <c r="B25" s="9"/>
      <c r="C25" s="9"/>
      <c r="D25" s="10" t="s">
        <v>136</v>
      </c>
      <c r="E25" s="11">
        <v>84.18</v>
      </c>
      <c r="H25" s="10"/>
      <c r="I25" s="10"/>
      <c r="J25" s="10"/>
      <c r="K25" s="10"/>
      <c r="L25" s="10"/>
      <c r="M25" s="10"/>
      <c r="N25" s="10" t="s">
        <v>70</v>
      </c>
      <c r="O25" s="11">
        <v>829.6</v>
      </c>
      <c r="P25" s="11">
        <v>915</v>
      </c>
      <c r="Q25" s="10" t="s">
        <v>70</v>
      </c>
      <c r="R25" s="11">
        <v>829.6</v>
      </c>
      <c r="S25" s="10"/>
      <c r="T25" s="10"/>
      <c r="U25" s="10"/>
      <c r="V25" s="10"/>
      <c r="W25" s="10" t="s">
        <v>70</v>
      </c>
      <c r="X25" s="11">
        <v>829.6</v>
      </c>
    </row>
    <row r="26" spans="1:29" ht="15.75" thickBot="1" x14ac:dyDescent="0.3">
      <c r="D26" s="10" t="s">
        <v>137</v>
      </c>
      <c r="E26" s="11">
        <v>219.6</v>
      </c>
      <c r="N26" s="10" t="s">
        <v>138</v>
      </c>
      <c r="O26" s="11">
        <v>37</v>
      </c>
      <c r="P26" s="11">
        <v>36.6</v>
      </c>
    </row>
    <row r="27" spans="1:29" ht="15.75" thickBot="1" x14ac:dyDescent="0.3">
      <c r="B27" s="67" t="s">
        <v>144</v>
      </c>
      <c r="C27" s="68">
        <v>3.95E-2</v>
      </c>
      <c r="N27" s="10" t="s">
        <v>139</v>
      </c>
      <c r="O27" s="11">
        <v>39</v>
      </c>
      <c r="P27" s="11">
        <v>56.12</v>
      </c>
    </row>
    <row r="28" spans="1:29" x14ac:dyDescent="0.25">
      <c r="N28" s="10" t="s">
        <v>140</v>
      </c>
      <c r="O28" s="11">
        <v>28</v>
      </c>
      <c r="P28" s="11">
        <v>36.6</v>
      </c>
    </row>
    <row r="29" spans="1:29" x14ac:dyDescent="0.25">
      <c r="N29" s="10" t="s">
        <v>141</v>
      </c>
      <c r="O29" s="11">
        <v>37</v>
      </c>
      <c r="P29" s="11">
        <v>36.6</v>
      </c>
    </row>
    <row r="30" spans="1:29" x14ac:dyDescent="0.25">
      <c r="B30" s="64"/>
      <c r="C30" s="64"/>
      <c r="N30" s="10" t="s">
        <v>142</v>
      </c>
      <c r="O30" s="11">
        <v>31</v>
      </c>
      <c r="P30" s="11"/>
    </row>
    <row r="31" spans="1:29" x14ac:dyDescent="0.25">
      <c r="O31" s="11" t="s">
        <v>143</v>
      </c>
    </row>
    <row r="32" spans="1:29" x14ac:dyDescent="0.25">
      <c r="G32" s="49"/>
    </row>
  </sheetData>
  <mergeCells count="11">
    <mergeCell ref="AA6:AB6"/>
    <mergeCell ref="Y21:AB21"/>
    <mergeCell ref="Y5:Z5"/>
    <mergeCell ref="A6:C6"/>
    <mergeCell ref="D6:E6"/>
    <mergeCell ref="F6:G6"/>
    <mergeCell ref="H6:I6"/>
    <mergeCell ref="J6:K6"/>
    <mergeCell ref="N6:O6"/>
    <mergeCell ref="W6:X6"/>
    <mergeCell ref="Y6:Z6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2"/>
  <sheetViews>
    <sheetView topLeftCell="K1" zoomScaleNormal="100" workbookViewId="0">
      <selection activeCell="O8" sqref="O8"/>
    </sheetView>
  </sheetViews>
  <sheetFormatPr baseColWidth="10" defaultColWidth="11.42578125" defaultRowHeight="15" x14ac:dyDescent="0.25"/>
  <cols>
    <col min="1" max="1" width="42.140625" customWidth="1"/>
    <col min="2" max="2" width="24.140625" customWidth="1"/>
    <col min="3" max="3" width="33.85546875" customWidth="1"/>
    <col min="4" max="4" width="17.140625" customWidth="1"/>
    <col min="5" max="5" width="22.42578125" customWidth="1"/>
    <col min="6" max="6" width="32.7109375" customWidth="1"/>
    <col min="7" max="8" width="20.28515625" customWidth="1"/>
    <col min="9" max="9" width="24" customWidth="1"/>
    <col min="10" max="10" width="18.28515625" customWidth="1"/>
    <col min="11" max="11" width="43.42578125" customWidth="1"/>
    <col min="12" max="12" width="20" customWidth="1"/>
    <col min="13" max="13" width="29.7109375" customWidth="1"/>
    <col min="14" max="14" width="26.85546875" customWidth="1"/>
    <col min="15" max="15" width="26.85546875" style="54" customWidth="1"/>
    <col min="16" max="16" width="33.42578125" customWidth="1"/>
    <col min="17" max="17" width="22.28515625" customWidth="1"/>
    <col min="18" max="18" width="15.28515625" customWidth="1"/>
    <col min="19" max="19" width="30.28515625" customWidth="1"/>
    <col min="20" max="20" width="15.5703125" customWidth="1"/>
    <col min="21" max="21" width="19.42578125" customWidth="1"/>
    <col min="22" max="22" width="17.7109375" customWidth="1"/>
    <col min="23" max="23" width="32" customWidth="1"/>
    <col min="24" max="24" width="15.28515625" customWidth="1"/>
    <col min="25" max="25" width="15.85546875" customWidth="1"/>
    <col min="26" max="26" width="16.28515625" customWidth="1"/>
    <col min="27" max="27" width="20.28515625" customWidth="1"/>
    <col min="28" max="28" width="26.28515625" customWidth="1"/>
    <col min="29" max="29" width="18.7109375" customWidth="1"/>
    <col min="30" max="30" width="15.42578125" customWidth="1"/>
    <col min="31" max="31" width="18.85546875" customWidth="1"/>
  </cols>
  <sheetData>
    <row r="1" spans="1:29" x14ac:dyDescent="0.25">
      <c r="A1" s="3" t="s">
        <v>0</v>
      </c>
    </row>
    <row r="2" spans="1:29" ht="15.75" thickBot="1" x14ac:dyDescent="0.3"/>
    <row r="3" spans="1:29" ht="15.75" thickBot="1" x14ac:dyDescent="0.3">
      <c r="A3" s="2" t="s">
        <v>1</v>
      </c>
      <c r="B3" s="4">
        <v>0.1</v>
      </c>
      <c r="C3" s="2" t="s">
        <v>1</v>
      </c>
      <c r="D3" s="32">
        <v>0.4</v>
      </c>
      <c r="E3" s="2" t="s">
        <v>1</v>
      </c>
      <c r="F3" s="51">
        <v>0.25</v>
      </c>
      <c r="G3" s="29" t="s">
        <v>1</v>
      </c>
      <c r="H3" s="4" t="s">
        <v>2</v>
      </c>
      <c r="I3" s="2" t="s">
        <v>1</v>
      </c>
      <c r="J3" s="4">
        <v>1</v>
      </c>
      <c r="K3" s="2" t="s">
        <v>1</v>
      </c>
      <c r="L3" s="4" t="s">
        <v>2</v>
      </c>
      <c r="M3" s="2" t="s">
        <v>1</v>
      </c>
      <c r="N3" s="29"/>
      <c r="O3" s="55"/>
      <c r="P3" s="4">
        <v>0.25</v>
      </c>
      <c r="Q3" s="2" t="s">
        <v>1</v>
      </c>
      <c r="R3" s="8" t="s">
        <v>2</v>
      </c>
      <c r="S3" s="2" t="s">
        <v>1</v>
      </c>
      <c r="T3" s="4">
        <v>1</v>
      </c>
      <c r="U3" s="2" t="s">
        <v>1</v>
      </c>
      <c r="V3" s="8" t="s">
        <v>2</v>
      </c>
      <c r="W3" s="2" t="s">
        <v>1</v>
      </c>
      <c r="X3" s="8" t="s">
        <v>2</v>
      </c>
      <c r="Y3" s="2" t="s">
        <v>1</v>
      </c>
      <c r="Z3" s="8" t="s">
        <v>2</v>
      </c>
      <c r="AA3" s="2" t="s">
        <v>1</v>
      </c>
      <c r="AB3" s="28" t="s">
        <v>2</v>
      </c>
    </row>
    <row r="4" spans="1:29" ht="15.75" thickBot="1" x14ac:dyDescent="0.3">
      <c r="A4" s="1" t="s">
        <v>3</v>
      </c>
      <c r="B4" s="6">
        <v>0.15</v>
      </c>
      <c r="E4" s="38"/>
    </row>
    <row r="5" spans="1:29" ht="15.75" thickBot="1" x14ac:dyDescent="0.3">
      <c r="A5" s="2" t="s">
        <v>4</v>
      </c>
      <c r="B5" s="7" t="s">
        <v>145</v>
      </c>
      <c r="C5" s="2" t="s">
        <v>4</v>
      </c>
      <c r="D5" s="29" t="s">
        <v>6</v>
      </c>
      <c r="E5" s="2" t="s">
        <v>4</v>
      </c>
      <c r="F5" s="7" t="s">
        <v>7</v>
      </c>
      <c r="G5" s="29" t="s">
        <v>4</v>
      </c>
      <c r="H5" s="7" t="s">
        <v>8</v>
      </c>
      <c r="I5" s="2" t="s">
        <v>4</v>
      </c>
      <c r="J5" s="7" t="s">
        <v>8</v>
      </c>
      <c r="K5" s="2" t="s">
        <v>9</v>
      </c>
      <c r="L5" s="7" t="s">
        <v>8</v>
      </c>
      <c r="M5" s="2" t="s">
        <v>4</v>
      </c>
      <c r="N5" s="29"/>
      <c r="O5" s="55"/>
      <c r="P5" s="7" t="s">
        <v>10</v>
      </c>
      <c r="Q5" s="2" t="s">
        <v>11</v>
      </c>
      <c r="R5" s="7" t="s">
        <v>8</v>
      </c>
      <c r="S5" s="2" t="s">
        <v>4</v>
      </c>
      <c r="T5" s="7" t="s">
        <v>8</v>
      </c>
      <c r="U5" s="2" t="s">
        <v>12</v>
      </c>
      <c r="V5" s="7" t="s">
        <v>8</v>
      </c>
      <c r="W5" s="2" t="s">
        <v>13</v>
      </c>
      <c r="X5" s="7" t="s">
        <v>8</v>
      </c>
      <c r="Y5" s="101" t="s">
        <v>14</v>
      </c>
      <c r="Z5" s="102"/>
      <c r="AA5" s="23" t="s">
        <v>4</v>
      </c>
      <c r="AB5" s="24"/>
    </row>
    <row r="6" spans="1:29" x14ac:dyDescent="0.25">
      <c r="A6" s="107" t="s">
        <v>15</v>
      </c>
      <c r="B6" s="107"/>
      <c r="C6" s="105" t="s">
        <v>16</v>
      </c>
      <c r="D6" s="105"/>
      <c r="E6" s="106" t="s">
        <v>17</v>
      </c>
      <c r="F6" s="105"/>
      <c r="G6" s="95" t="s">
        <v>18</v>
      </c>
      <c r="H6" s="95"/>
      <c r="I6" s="105" t="s">
        <v>19</v>
      </c>
      <c r="J6" s="105"/>
      <c r="K6" s="17" t="s">
        <v>20</v>
      </c>
      <c r="L6" s="17"/>
      <c r="M6" s="95" t="s">
        <v>21</v>
      </c>
      <c r="N6" s="95"/>
      <c r="O6" s="17"/>
      <c r="P6" s="17"/>
      <c r="Q6" s="17" t="s">
        <v>22</v>
      </c>
      <c r="R6" s="17"/>
      <c r="S6" s="17" t="s">
        <v>23</v>
      </c>
      <c r="T6" s="17"/>
      <c r="U6" s="17" t="s">
        <v>24</v>
      </c>
      <c r="V6" s="17"/>
      <c r="W6" s="95" t="s">
        <v>25</v>
      </c>
      <c r="X6" s="95"/>
      <c r="Y6" s="95" t="s">
        <v>26</v>
      </c>
      <c r="Z6" s="95"/>
      <c r="AA6" s="95" t="s">
        <v>27</v>
      </c>
      <c r="AB6" s="95"/>
    </row>
    <row r="7" spans="1:29" x14ac:dyDescent="0.25">
      <c r="A7" s="9" t="s">
        <v>28</v>
      </c>
      <c r="B7" s="9" t="s">
        <v>31</v>
      </c>
      <c r="C7" s="9" t="s">
        <v>28</v>
      </c>
      <c r="D7" s="33" t="s">
        <v>30</v>
      </c>
      <c r="E7" s="40" t="s">
        <v>28</v>
      </c>
      <c r="F7" s="53" t="s">
        <v>30</v>
      </c>
      <c r="G7" s="36" t="s">
        <v>28</v>
      </c>
      <c r="H7" s="12" t="s">
        <v>30</v>
      </c>
      <c r="I7" s="9" t="s">
        <v>28</v>
      </c>
      <c r="J7" s="9" t="s">
        <v>30</v>
      </c>
      <c r="K7" s="9" t="s">
        <v>28</v>
      </c>
      <c r="L7" s="9" t="s">
        <v>31</v>
      </c>
      <c r="M7" s="9" t="s">
        <v>28</v>
      </c>
      <c r="N7" s="9" t="s">
        <v>31</v>
      </c>
      <c r="O7" s="56" t="s">
        <v>146</v>
      </c>
      <c r="P7" s="63" t="s">
        <v>29</v>
      </c>
      <c r="Q7" s="9" t="s">
        <v>28</v>
      </c>
      <c r="R7" s="9" t="s">
        <v>31</v>
      </c>
      <c r="S7" s="9" t="s">
        <v>28</v>
      </c>
      <c r="T7" s="9" t="s">
        <v>31</v>
      </c>
      <c r="U7" s="9" t="s">
        <v>28</v>
      </c>
      <c r="V7" s="9" t="s">
        <v>31</v>
      </c>
      <c r="W7" s="9" t="s">
        <v>28</v>
      </c>
      <c r="X7" s="9" t="s">
        <v>31</v>
      </c>
      <c r="Y7" s="9" t="s">
        <v>32</v>
      </c>
      <c r="Z7" s="9" t="s">
        <v>33</v>
      </c>
      <c r="AA7" s="9" t="s">
        <v>32</v>
      </c>
      <c r="AB7" s="9" t="s">
        <v>34</v>
      </c>
      <c r="AC7" s="9" t="s">
        <v>35</v>
      </c>
    </row>
    <row r="8" spans="1:29" x14ac:dyDescent="0.25">
      <c r="A8" s="10" t="s">
        <v>36</v>
      </c>
      <c r="B8" s="13">
        <v>274.36</v>
      </c>
      <c r="C8" s="10" t="s">
        <v>37</v>
      </c>
      <c r="D8" s="34">
        <v>132.97999999999999</v>
      </c>
      <c r="E8" s="41" t="s">
        <v>38</v>
      </c>
      <c r="F8" s="52">
        <v>100</v>
      </c>
      <c r="G8" s="37" t="s">
        <v>39</v>
      </c>
      <c r="H8" s="13">
        <v>103.7</v>
      </c>
      <c r="I8" s="10" t="s">
        <v>40</v>
      </c>
      <c r="J8" s="11">
        <v>128.1</v>
      </c>
      <c r="K8" s="10" t="s">
        <v>41</v>
      </c>
      <c r="L8" s="11">
        <v>103.7</v>
      </c>
      <c r="M8" s="10" t="s">
        <v>42</v>
      </c>
      <c r="N8" s="11">
        <v>86.62</v>
      </c>
      <c r="O8" s="57">
        <f>P8*100/N8-100</f>
        <v>12.676056338028161</v>
      </c>
      <c r="P8" s="11">
        <v>97.6</v>
      </c>
      <c r="Q8" s="10" t="s">
        <v>42</v>
      </c>
      <c r="R8" s="11">
        <v>86.62</v>
      </c>
      <c r="S8" s="10" t="s">
        <v>43</v>
      </c>
      <c r="T8" s="11">
        <v>90</v>
      </c>
      <c r="U8" s="10" t="s">
        <v>43</v>
      </c>
      <c r="V8" s="11">
        <v>97.6</v>
      </c>
      <c r="W8" s="10" t="s">
        <v>42</v>
      </c>
      <c r="X8" s="11">
        <v>86.62</v>
      </c>
      <c r="Y8" s="10" t="s">
        <v>39</v>
      </c>
      <c r="Z8" s="10">
        <v>122</v>
      </c>
      <c r="AA8" s="10" t="s">
        <v>44</v>
      </c>
      <c r="AB8" s="10">
        <v>87.84</v>
      </c>
      <c r="AC8" s="10">
        <v>112.24</v>
      </c>
    </row>
    <row r="9" spans="1:29" x14ac:dyDescent="0.25">
      <c r="A9" s="10" t="s">
        <v>45</v>
      </c>
      <c r="B9" s="13">
        <v>383.58</v>
      </c>
      <c r="C9" s="10" t="s">
        <v>46</v>
      </c>
      <c r="D9" s="34">
        <v>179.34</v>
      </c>
      <c r="E9" s="41" t="s">
        <v>47</v>
      </c>
      <c r="F9" s="52">
        <v>60</v>
      </c>
      <c r="G9" s="37" t="s">
        <v>48</v>
      </c>
      <c r="H9" s="13">
        <v>140.30000000000001</v>
      </c>
      <c r="I9" s="10" t="s">
        <v>49</v>
      </c>
      <c r="J9" s="11">
        <v>103.7</v>
      </c>
      <c r="K9" s="10" t="s">
        <v>50</v>
      </c>
      <c r="L9" s="11">
        <v>146.4</v>
      </c>
      <c r="M9" s="10" t="s">
        <v>51</v>
      </c>
      <c r="N9" s="11">
        <v>129.32</v>
      </c>
      <c r="O9" s="57">
        <f t="shared" ref="O9:O29" si="0">P9*100/N9-100</f>
        <v>13.20754716981132</v>
      </c>
      <c r="P9" s="11">
        <v>146.4</v>
      </c>
      <c r="Q9" s="10" t="s">
        <v>51</v>
      </c>
      <c r="R9" s="11">
        <v>129.32</v>
      </c>
      <c r="S9" s="10" t="s">
        <v>52</v>
      </c>
      <c r="T9" s="11">
        <v>90</v>
      </c>
      <c r="U9" s="10" t="s">
        <v>39</v>
      </c>
      <c r="V9" s="11">
        <v>73.2</v>
      </c>
      <c r="W9" s="10" t="s">
        <v>51</v>
      </c>
      <c r="X9" s="11">
        <v>129.32</v>
      </c>
      <c r="Y9" s="10" t="s">
        <v>48</v>
      </c>
      <c r="Z9" s="10">
        <v>146.4</v>
      </c>
      <c r="AA9" s="10" t="s">
        <v>53</v>
      </c>
      <c r="AB9" s="10">
        <v>106.14</v>
      </c>
      <c r="AC9" s="10">
        <v>130.54</v>
      </c>
    </row>
    <row r="10" spans="1:29" x14ac:dyDescent="0.25">
      <c r="A10" s="10" t="s">
        <v>54</v>
      </c>
      <c r="B10" s="13">
        <v>411.55</v>
      </c>
      <c r="C10" s="10" t="s">
        <v>54</v>
      </c>
      <c r="D10" s="34">
        <v>463.6</v>
      </c>
      <c r="E10" s="41" t="s">
        <v>55</v>
      </c>
      <c r="F10" s="52">
        <v>90</v>
      </c>
      <c r="G10" s="37" t="s">
        <v>56</v>
      </c>
      <c r="H10" s="13">
        <v>280.60000000000002</v>
      </c>
      <c r="I10" s="10" t="s">
        <v>57</v>
      </c>
      <c r="J10" s="11">
        <v>103.7</v>
      </c>
      <c r="K10" s="10" t="s">
        <v>58</v>
      </c>
      <c r="L10" s="11">
        <v>305</v>
      </c>
      <c r="M10" s="10" t="s">
        <v>59</v>
      </c>
      <c r="N10" s="11">
        <v>167.14</v>
      </c>
      <c r="O10" s="57">
        <f t="shared" si="0"/>
        <v>31.386861313868621</v>
      </c>
      <c r="P10" s="11">
        <v>219.6</v>
      </c>
      <c r="Q10" s="10" t="s">
        <v>59</v>
      </c>
      <c r="R10" s="11">
        <v>167.14</v>
      </c>
      <c r="S10" s="10" t="s">
        <v>60</v>
      </c>
      <c r="T10" s="11">
        <v>100</v>
      </c>
      <c r="U10" s="10" t="s">
        <v>48</v>
      </c>
      <c r="V10" s="11">
        <v>85.4</v>
      </c>
      <c r="W10" s="10" t="s">
        <v>59</v>
      </c>
      <c r="X10" s="11">
        <v>167.14</v>
      </c>
      <c r="Y10" s="10" t="s">
        <v>56</v>
      </c>
      <c r="Z10" s="10">
        <v>427</v>
      </c>
      <c r="AA10" s="10" t="s">
        <v>61</v>
      </c>
      <c r="AB10" s="10">
        <v>231.79999999999998</v>
      </c>
      <c r="AC10" s="10">
        <v>256.2</v>
      </c>
    </row>
    <row r="11" spans="1:29" x14ac:dyDescent="0.25">
      <c r="A11" s="10" t="s">
        <v>62</v>
      </c>
      <c r="B11" s="13">
        <v>1373.16</v>
      </c>
      <c r="C11" s="10" t="s">
        <v>63</v>
      </c>
      <c r="D11" s="34">
        <v>1018.7</v>
      </c>
      <c r="E11" s="41" t="s">
        <v>57</v>
      </c>
      <c r="F11" s="52">
        <v>120</v>
      </c>
      <c r="G11" s="37" t="s">
        <v>64</v>
      </c>
      <c r="H11" s="13">
        <v>225.7</v>
      </c>
      <c r="I11" s="10" t="s">
        <v>65</v>
      </c>
      <c r="J11" s="11">
        <v>115.9</v>
      </c>
      <c r="K11" s="10" t="s">
        <v>66</v>
      </c>
      <c r="L11" s="11">
        <v>829.6</v>
      </c>
      <c r="M11" s="10" t="s">
        <v>67</v>
      </c>
      <c r="N11" s="11">
        <v>86.62</v>
      </c>
      <c r="O11" s="57">
        <f t="shared" si="0"/>
        <v>12.676056338028161</v>
      </c>
      <c r="P11" s="11">
        <v>97.6</v>
      </c>
      <c r="Q11" s="10" t="s">
        <v>67</v>
      </c>
      <c r="R11" s="11">
        <v>86.62</v>
      </c>
      <c r="S11" s="10" t="s">
        <v>56</v>
      </c>
      <c r="T11" s="11">
        <v>200</v>
      </c>
      <c r="U11" s="10" t="s">
        <v>56</v>
      </c>
      <c r="V11" s="11">
        <v>183</v>
      </c>
      <c r="W11" s="10" t="s">
        <v>67</v>
      </c>
      <c r="X11" s="11">
        <v>86.62</v>
      </c>
      <c r="Y11" s="10" t="s">
        <v>68</v>
      </c>
      <c r="Z11" s="10">
        <v>488</v>
      </c>
      <c r="AA11" s="10" t="s">
        <v>69</v>
      </c>
      <c r="AB11" s="10">
        <v>463.59999999999997</v>
      </c>
      <c r="AC11" s="10">
        <v>488</v>
      </c>
    </row>
    <row r="12" spans="1:29" x14ac:dyDescent="0.25">
      <c r="A12" s="10" t="s">
        <v>70</v>
      </c>
      <c r="B12" s="13">
        <v>1957.86</v>
      </c>
      <c r="C12" s="10" t="s">
        <v>71</v>
      </c>
      <c r="D12" s="34">
        <v>1683.6</v>
      </c>
      <c r="E12" s="41" t="s">
        <v>72</v>
      </c>
      <c r="F12" s="52">
        <v>200</v>
      </c>
      <c r="G12" s="37" t="s">
        <v>73</v>
      </c>
      <c r="H12" s="13">
        <v>622.20000000000005</v>
      </c>
      <c r="I12" s="10" t="s">
        <v>58</v>
      </c>
      <c r="J12" s="11">
        <v>244</v>
      </c>
      <c r="K12" s="10" t="s">
        <v>74</v>
      </c>
      <c r="L12" s="11">
        <v>1018.7</v>
      </c>
      <c r="M12" s="10" t="s">
        <v>75</v>
      </c>
      <c r="N12" s="11">
        <v>114.68</v>
      </c>
      <c r="O12" s="57">
        <f t="shared" si="0"/>
        <v>32.978723404255305</v>
      </c>
      <c r="P12" s="11">
        <v>152.5</v>
      </c>
      <c r="Q12" s="10" t="s">
        <v>75</v>
      </c>
      <c r="R12" s="11">
        <v>114.68</v>
      </c>
      <c r="S12" s="10" t="s">
        <v>76</v>
      </c>
      <c r="T12" s="11">
        <v>180</v>
      </c>
      <c r="U12" s="10" t="s">
        <v>77</v>
      </c>
      <c r="V12" s="11">
        <v>610</v>
      </c>
      <c r="W12" s="10" t="s">
        <v>75</v>
      </c>
      <c r="X12" s="11">
        <v>114.68</v>
      </c>
      <c r="Y12" s="10" t="s">
        <v>78</v>
      </c>
      <c r="Z12" s="10">
        <v>1098</v>
      </c>
      <c r="AA12" s="10" t="s">
        <v>79</v>
      </c>
      <c r="AB12" s="10">
        <v>829.6</v>
      </c>
      <c r="AC12" s="10">
        <v>854</v>
      </c>
    </row>
    <row r="13" spans="1:29" x14ac:dyDescent="0.25">
      <c r="A13" s="10" t="s">
        <v>80</v>
      </c>
      <c r="B13" s="13">
        <v>175.81</v>
      </c>
      <c r="C13" s="18" t="s">
        <v>81</v>
      </c>
      <c r="D13" s="35">
        <v>4026</v>
      </c>
      <c r="E13" s="41" t="s">
        <v>82</v>
      </c>
      <c r="F13" s="52">
        <v>200</v>
      </c>
      <c r="G13" s="37" t="s">
        <v>83</v>
      </c>
      <c r="H13" s="13">
        <v>969.9</v>
      </c>
      <c r="I13" s="10" t="s">
        <v>84</v>
      </c>
      <c r="J13" s="11">
        <v>134.19999999999999</v>
      </c>
      <c r="K13" s="10" t="s">
        <v>40</v>
      </c>
      <c r="L13" s="11">
        <v>146.4</v>
      </c>
      <c r="M13" s="10" t="s">
        <v>85</v>
      </c>
      <c r="N13" s="11">
        <v>86.62</v>
      </c>
      <c r="O13" s="57">
        <f t="shared" si="0"/>
        <v>12.676056338028161</v>
      </c>
      <c r="P13" s="11">
        <v>97.6</v>
      </c>
      <c r="Q13" s="10" t="s">
        <v>85</v>
      </c>
      <c r="R13" s="11">
        <v>86.62</v>
      </c>
      <c r="S13" s="10" t="s">
        <v>78</v>
      </c>
      <c r="T13" s="11">
        <v>445</v>
      </c>
      <c r="U13" s="10" t="s">
        <v>78</v>
      </c>
      <c r="V13" s="11">
        <v>366</v>
      </c>
      <c r="W13" s="10" t="s">
        <v>85</v>
      </c>
      <c r="X13" s="11">
        <v>86.62</v>
      </c>
      <c r="Y13" s="10" t="s">
        <v>86</v>
      </c>
      <c r="Z13" s="10">
        <v>1586</v>
      </c>
      <c r="AA13" s="10" t="s">
        <v>87</v>
      </c>
      <c r="AB13" s="10">
        <v>1000.4</v>
      </c>
      <c r="AC13" s="10">
        <v>1024.8</v>
      </c>
    </row>
    <row r="14" spans="1:29" x14ac:dyDescent="0.25">
      <c r="A14" s="10" t="s">
        <v>88</v>
      </c>
      <c r="B14" s="13">
        <v>351.62</v>
      </c>
      <c r="C14" s="10" t="s">
        <v>89</v>
      </c>
      <c r="D14" s="34">
        <v>231.8</v>
      </c>
      <c r="E14" s="41" t="s">
        <v>83</v>
      </c>
      <c r="F14" s="52">
        <v>650</v>
      </c>
      <c r="G14" s="37" t="s">
        <v>40</v>
      </c>
      <c r="H14" s="13">
        <v>176.9</v>
      </c>
      <c r="I14" s="10" t="s">
        <v>70</v>
      </c>
      <c r="J14" s="11">
        <v>976</v>
      </c>
      <c r="K14" s="10" t="s">
        <v>90</v>
      </c>
      <c r="L14" s="11">
        <v>134.19999999999999</v>
      </c>
      <c r="M14" s="10" t="s">
        <v>91</v>
      </c>
      <c r="N14" s="11">
        <v>1493.28</v>
      </c>
      <c r="O14" s="57">
        <f t="shared" si="0"/>
        <v>-10.130718954248366</v>
      </c>
      <c r="P14" s="11">
        <v>1342</v>
      </c>
      <c r="Q14" s="10" t="s">
        <v>91</v>
      </c>
      <c r="R14" s="11">
        <v>1493.28</v>
      </c>
      <c r="S14" s="10" t="s">
        <v>77</v>
      </c>
      <c r="T14" s="11">
        <v>665</v>
      </c>
      <c r="U14" s="10" t="s">
        <v>40</v>
      </c>
      <c r="V14" s="11">
        <v>97.6</v>
      </c>
      <c r="W14" s="10" t="s">
        <v>91</v>
      </c>
      <c r="X14" s="11">
        <v>1493.28</v>
      </c>
      <c r="Y14" s="10" t="s">
        <v>92</v>
      </c>
      <c r="Z14" s="10">
        <v>128.1</v>
      </c>
      <c r="AA14" s="10" t="s">
        <v>93</v>
      </c>
      <c r="AB14" s="10">
        <v>146.4</v>
      </c>
      <c r="AC14" s="10">
        <v>195.2</v>
      </c>
    </row>
    <row r="15" spans="1:29" x14ac:dyDescent="0.25">
      <c r="A15" s="10" t="s">
        <v>94</v>
      </c>
      <c r="B15" s="13">
        <v>257.05</v>
      </c>
      <c r="C15" s="10" t="s">
        <v>95</v>
      </c>
      <c r="D15" s="34">
        <v>308.66000000000003</v>
      </c>
      <c r="E15" s="41" t="s">
        <v>70</v>
      </c>
      <c r="F15" s="52">
        <v>550</v>
      </c>
      <c r="G15" s="37" t="s">
        <v>96</v>
      </c>
      <c r="H15" s="13">
        <v>683.2</v>
      </c>
      <c r="I15" s="10" t="s">
        <v>97</v>
      </c>
      <c r="J15" s="11">
        <v>634.4</v>
      </c>
      <c r="K15" s="10" t="s">
        <v>98</v>
      </c>
      <c r="L15" s="11">
        <v>134.19999999999999</v>
      </c>
      <c r="M15" s="10" t="s">
        <v>99</v>
      </c>
      <c r="N15" s="11">
        <v>101.26</v>
      </c>
      <c r="O15" s="57">
        <f t="shared" si="0"/>
        <v>20.481927710843365</v>
      </c>
      <c r="P15" s="11">
        <v>122</v>
      </c>
      <c r="Q15" s="10" t="s">
        <v>99</v>
      </c>
      <c r="R15" s="11">
        <v>101.26</v>
      </c>
      <c r="S15" s="10" t="s">
        <v>100</v>
      </c>
      <c r="T15" s="11">
        <v>85</v>
      </c>
      <c r="U15" s="10"/>
      <c r="V15" s="10"/>
      <c r="W15" s="10" t="s">
        <v>99</v>
      </c>
      <c r="X15" s="11">
        <v>101.26</v>
      </c>
      <c r="Y15" s="10" t="s">
        <v>101</v>
      </c>
      <c r="Z15" s="10">
        <v>213.5</v>
      </c>
      <c r="AA15" s="10" t="s">
        <v>102</v>
      </c>
      <c r="AB15" s="10">
        <v>195.2</v>
      </c>
      <c r="AC15" s="10">
        <v>219.6</v>
      </c>
    </row>
    <row r="16" spans="1:29" x14ac:dyDescent="0.25">
      <c r="A16" s="10" t="s">
        <v>103</v>
      </c>
      <c r="B16" s="13">
        <v>340.96</v>
      </c>
      <c r="C16" s="10" t="s">
        <v>104</v>
      </c>
      <c r="D16" s="34">
        <v>231.8</v>
      </c>
      <c r="E16" s="41"/>
      <c r="F16" s="22"/>
      <c r="G16" s="37" t="s">
        <v>43</v>
      </c>
      <c r="H16" s="13">
        <v>122</v>
      </c>
      <c r="I16" s="10" t="s">
        <v>106</v>
      </c>
      <c r="J16" s="11">
        <v>1024.8</v>
      </c>
      <c r="K16" s="10"/>
      <c r="L16" s="10"/>
      <c r="M16" s="10" t="s">
        <v>107</v>
      </c>
      <c r="N16" s="11">
        <v>86.62</v>
      </c>
      <c r="O16" s="57">
        <f t="shared" si="0"/>
        <v>12.676056338028161</v>
      </c>
      <c r="P16" s="11">
        <v>97.6</v>
      </c>
      <c r="Q16" s="10" t="s">
        <v>107</v>
      </c>
      <c r="R16" s="11">
        <v>86.62</v>
      </c>
      <c r="S16" s="10" t="s">
        <v>108</v>
      </c>
      <c r="T16" s="11">
        <v>125</v>
      </c>
      <c r="U16" s="10"/>
      <c r="V16" s="10"/>
      <c r="W16" s="10" t="s">
        <v>107</v>
      </c>
      <c r="X16" s="11">
        <v>86.62</v>
      </c>
      <c r="Y16" s="10" t="s">
        <v>109</v>
      </c>
      <c r="Z16" s="10">
        <v>1037</v>
      </c>
      <c r="AA16" s="10" t="s">
        <v>110</v>
      </c>
      <c r="AB16" s="10">
        <v>268.39999999999998</v>
      </c>
      <c r="AC16" s="10">
        <v>292.8</v>
      </c>
    </row>
    <row r="17" spans="1:29" ht="15.75" thickBot="1" x14ac:dyDescent="0.3">
      <c r="A17" s="10" t="s">
        <v>147</v>
      </c>
      <c r="B17" s="13">
        <v>434.19</v>
      </c>
      <c r="C17" s="10" t="s">
        <v>111</v>
      </c>
      <c r="D17" s="34">
        <v>113.46</v>
      </c>
      <c r="E17" s="44"/>
      <c r="F17" s="46"/>
      <c r="G17" s="37"/>
      <c r="H17" s="10"/>
      <c r="I17" s="10" t="s">
        <v>112</v>
      </c>
      <c r="J17" s="11">
        <v>1207.8</v>
      </c>
      <c r="K17" s="10"/>
      <c r="L17" s="10"/>
      <c r="M17" s="10" t="s">
        <v>113</v>
      </c>
      <c r="N17" s="11">
        <v>212.28</v>
      </c>
      <c r="O17" s="57">
        <f t="shared" si="0"/>
        <v>9.9962313925004764</v>
      </c>
      <c r="P17" s="11">
        <v>233.5</v>
      </c>
      <c r="Q17" s="10" t="s">
        <v>114</v>
      </c>
      <c r="R17" s="11">
        <v>212.28</v>
      </c>
      <c r="S17" s="10" t="s">
        <v>115</v>
      </c>
      <c r="T17" s="11">
        <v>100</v>
      </c>
      <c r="U17" s="10"/>
      <c r="V17" s="10"/>
      <c r="W17" s="10" t="s">
        <v>114</v>
      </c>
      <c r="X17" s="11">
        <v>212.28</v>
      </c>
      <c r="Y17" s="10" t="s">
        <v>104</v>
      </c>
      <c r="Z17" s="10">
        <v>152.5</v>
      </c>
      <c r="AA17" s="10" t="s">
        <v>116</v>
      </c>
      <c r="AB17" s="10">
        <v>183</v>
      </c>
      <c r="AC17" s="10">
        <v>207.4</v>
      </c>
    </row>
    <row r="18" spans="1:29" x14ac:dyDescent="0.25">
      <c r="A18" s="10"/>
      <c r="B18" s="10"/>
      <c r="C18" s="10" t="s">
        <v>70</v>
      </c>
      <c r="D18" s="11">
        <v>1244.4000000000001</v>
      </c>
      <c r="G18" s="10"/>
      <c r="H18" s="10"/>
      <c r="I18" s="10" t="s">
        <v>117</v>
      </c>
      <c r="J18" s="11">
        <v>3416</v>
      </c>
      <c r="K18" s="10"/>
      <c r="L18" s="10"/>
      <c r="M18" s="10" t="s">
        <v>118</v>
      </c>
      <c r="N18" s="11">
        <v>668.56</v>
      </c>
      <c r="O18" s="57">
        <f t="shared" si="0"/>
        <v>64.233576642335777</v>
      </c>
      <c r="P18" s="11">
        <v>1098</v>
      </c>
      <c r="Q18" s="10" t="s">
        <v>119</v>
      </c>
      <c r="R18" s="11">
        <v>668.56</v>
      </c>
      <c r="S18" s="10" t="s">
        <v>70</v>
      </c>
      <c r="T18" s="11">
        <v>600</v>
      </c>
      <c r="U18" s="10"/>
      <c r="V18" s="10"/>
      <c r="W18" s="10" t="s">
        <v>119</v>
      </c>
      <c r="X18" s="11">
        <v>668.56</v>
      </c>
      <c r="Y18" s="10" t="s">
        <v>120</v>
      </c>
      <c r="Z18" s="10">
        <v>152.5</v>
      </c>
      <c r="AA18" s="10" t="s">
        <v>121</v>
      </c>
      <c r="AB18" s="10">
        <v>244</v>
      </c>
      <c r="AC18" s="10">
        <v>268.39999999999998</v>
      </c>
    </row>
    <row r="19" spans="1:29" x14ac:dyDescent="0.25">
      <c r="A19" s="10" t="s">
        <v>122</v>
      </c>
      <c r="B19" s="10"/>
      <c r="C19" s="10" t="s">
        <v>43</v>
      </c>
      <c r="D19" s="11">
        <v>164.7</v>
      </c>
      <c r="G19" s="10"/>
      <c r="H19" s="9"/>
      <c r="I19" s="10"/>
      <c r="J19" s="10"/>
      <c r="K19" s="10"/>
      <c r="L19" s="10"/>
      <c r="M19" s="10" t="s">
        <v>123</v>
      </c>
      <c r="N19" s="11">
        <v>334.28</v>
      </c>
      <c r="O19" s="57">
        <f t="shared" si="0"/>
        <v>64.233576642335777</v>
      </c>
      <c r="P19" s="11">
        <v>549</v>
      </c>
      <c r="Q19" s="10" t="s">
        <v>124</v>
      </c>
      <c r="R19" s="11">
        <v>334.28</v>
      </c>
      <c r="S19" s="10"/>
      <c r="T19" s="10"/>
      <c r="U19" s="10"/>
      <c r="V19" s="10"/>
      <c r="W19" s="10" t="s">
        <v>124</v>
      </c>
      <c r="X19" s="11">
        <v>334.28</v>
      </c>
      <c r="AA19" s="10" t="s">
        <v>125</v>
      </c>
      <c r="AB19" s="10">
        <v>976</v>
      </c>
      <c r="AC19" s="10">
        <v>1000.4</v>
      </c>
    </row>
    <row r="20" spans="1:29" x14ac:dyDescent="0.25">
      <c r="A20" s="10"/>
      <c r="B20" s="10"/>
      <c r="C20" s="22" t="s">
        <v>126</v>
      </c>
      <c r="D20" s="13">
        <v>2147.1999999999998</v>
      </c>
      <c r="G20" s="10"/>
      <c r="H20" s="10"/>
      <c r="I20" s="10"/>
      <c r="J20" s="10"/>
      <c r="K20" s="10"/>
      <c r="L20" s="10"/>
      <c r="M20" s="10" t="s">
        <v>127</v>
      </c>
      <c r="N20" s="11">
        <v>217.16</v>
      </c>
      <c r="O20" s="57">
        <f t="shared" si="0"/>
        <v>12.359550561797761</v>
      </c>
      <c r="P20" s="11">
        <v>244</v>
      </c>
      <c r="Q20" s="10" t="s">
        <v>127</v>
      </c>
      <c r="R20" s="11">
        <v>217.16</v>
      </c>
      <c r="S20" s="10"/>
      <c r="T20" s="10"/>
      <c r="U20" s="10"/>
      <c r="V20" s="10"/>
      <c r="W20" s="10" t="s">
        <v>127</v>
      </c>
      <c r="X20" s="11">
        <v>217.16</v>
      </c>
      <c r="AA20" s="10" t="s">
        <v>128</v>
      </c>
      <c r="AB20" s="10">
        <v>183</v>
      </c>
      <c r="AC20" s="10">
        <v>207.4</v>
      </c>
    </row>
    <row r="21" spans="1:29" x14ac:dyDescent="0.25">
      <c r="B21" s="10"/>
      <c r="C21" s="22" t="s">
        <v>129</v>
      </c>
      <c r="D21" s="13">
        <v>2416</v>
      </c>
      <c r="G21" s="10"/>
      <c r="H21" s="10"/>
      <c r="I21" s="10"/>
      <c r="J21" s="10"/>
      <c r="K21" s="10"/>
      <c r="L21" s="10"/>
      <c r="M21" s="10" t="s">
        <v>130</v>
      </c>
      <c r="N21" s="11">
        <v>1050.42</v>
      </c>
      <c r="O21" s="57">
        <f t="shared" si="0"/>
        <v>0</v>
      </c>
      <c r="P21" s="11">
        <v>1050.42</v>
      </c>
      <c r="Q21" s="10" t="s">
        <v>130</v>
      </c>
      <c r="R21" s="11">
        <v>1050.42</v>
      </c>
      <c r="S21" s="10"/>
      <c r="T21" s="10"/>
      <c r="U21" s="10"/>
      <c r="V21" s="10"/>
      <c r="W21" s="10" t="s">
        <v>130</v>
      </c>
      <c r="X21" s="11">
        <v>1050.42</v>
      </c>
      <c r="Y21" s="96"/>
      <c r="Z21" s="96"/>
      <c r="AA21" s="96"/>
      <c r="AB21" s="96"/>
    </row>
    <row r="22" spans="1:29" ht="18" x14ac:dyDescent="0.35">
      <c r="A22" s="10"/>
      <c r="B22" s="10"/>
      <c r="C22" s="10" t="s">
        <v>131</v>
      </c>
      <c r="D22" s="11">
        <v>58.56</v>
      </c>
      <c r="G22" s="10"/>
      <c r="H22" s="10"/>
      <c r="I22" s="10"/>
      <c r="J22" s="10"/>
      <c r="K22" s="10"/>
      <c r="L22" s="10"/>
      <c r="M22" s="10" t="s">
        <v>132</v>
      </c>
      <c r="N22" s="11">
        <v>485.56</v>
      </c>
      <c r="O22" s="57">
        <f t="shared" si="0"/>
        <v>0</v>
      </c>
      <c r="P22" s="11">
        <v>485.56</v>
      </c>
      <c r="Q22" s="10" t="s">
        <v>132</v>
      </c>
      <c r="R22" s="11">
        <v>485.56</v>
      </c>
      <c r="S22" s="10"/>
      <c r="T22" s="10"/>
      <c r="U22" s="10"/>
      <c r="V22" s="10"/>
      <c r="W22" s="10" t="s">
        <v>132</v>
      </c>
      <c r="X22" s="11">
        <v>485.56</v>
      </c>
      <c r="AA22" s="25"/>
    </row>
    <row r="23" spans="1:29" ht="15.75" x14ac:dyDescent="0.3">
      <c r="A23" s="10"/>
      <c r="B23" s="10"/>
      <c r="C23" s="10" t="s">
        <v>133</v>
      </c>
      <c r="D23" s="11">
        <v>113.46</v>
      </c>
      <c r="G23" s="10"/>
      <c r="H23" s="10"/>
      <c r="I23" s="10"/>
      <c r="J23" s="10"/>
      <c r="K23" s="10"/>
      <c r="L23" s="10"/>
      <c r="M23" s="10" t="s">
        <v>134</v>
      </c>
      <c r="N23" s="11">
        <v>114.68</v>
      </c>
      <c r="O23" s="57">
        <f t="shared" si="0"/>
        <v>32.978723404255305</v>
      </c>
      <c r="P23" s="11">
        <v>152.5</v>
      </c>
      <c r="Q23" s="10" t="s">
        <v>134</v>
      </c>
      <c r="R23" s="11">
        <v>114.68</v>
      </c>
      <c r="S23" s="10"/>
      <c r="T23" s="10"/>
      <c r="U23" s="10"/>
      <c r="V23" s="10"/>
      <c r="W23" s="10" t="s">
        <v>134</v>
      </c>
      <c r="X23" s="11">
        <v>114.68</v>
      </c>
      <c r="AA23" s="26"/>
    </row>
    <row r="24" spans="1:29" ht="15.75" x14ac:dyDescent="0.3">
      <c r="A24" s="10"/>
      <c r="B24" s="10"/>
      <c r="C24" s="10" t="s">
        <v>135</v>
      </c>
      <c r="D24" s="11">
        <v>58.56</v>
      </c>
      <c r="G24" s="10"/>
      <c r="H24" s="10"/>
      <c r="I24" s="10"/>
      <c r="J24" s="10"/>
      <c r="K24" s="10"/>
      <c r="L24" s="10"/>
      <c r="M24" s="10" t="s">
        <v>111</v>
      </c>
      <c r="N24" s="11">
        <v>76.86</v>
      </c>
      <c r="O24" s="57">
        <f t="shared" si="0"/>
        <v>0</v>
      </c>
      <c r="P24" s="11">
        <v>76.86</v>
      </c>
      <c r="Q24" s="10" t="s">
        <v>111</v>
      </c>
      <c r="R24" s="11">
        <v>76.86</v>
      </c>
      <c r="S24" s="10"/>
      <c r="T24" s="10"/>
      <c r="U24" s="10"/>
      <c r="V24" s="10"/>
      <c r="W24" s="10" t="s">
        <v>111</v>
      </c>
      <c r="X24" s="11">
        <v>76.86</v>
      </c>
      <c r="AA24" s="27"/>
    </row>
    <row r="25" spans="1:29" x14ac:dyDescent="0.25">
      <c r="A25" s="9"/>
      <c r="B25" s="10"/>
      <c r="C25" s="10" t="s">
        <v>136</v>
      </c>
      <c r="D25" s="11">
        <v>84.18</v>
      </c>
      <c r="G25" s="10"/>
      <c r="H25" s="10"/>
      <c r="I25" s="10"/>
      <c r="J25" s="10"/>
      <c r="K25" s="10"/>
      <c r="L25" s="10"/>
      <c r="M25" s="10" t="s">
        <v>70</v>
      </c>
      <c r="N25" s="11">
        <v>829.6</v>
      </c>
      <c r="O25" s="57">
        <f t="shared" si="0"/>
        <v>10.294117647058826</v>
      </c>
      <c r="P25" s="11">
        <v>915</v>
      </c>
      <c r="Q25" s="10" t="s">
        <v>70</v>
      </c>
      <c r="R25" s="11">
        <v>829.6</v>
      </c>
      <c r="S25" s="10"/>
      <c r="T25" s="10"/>
      <c r="U25" s="10"/>
      <c r="V25" s="10"/>
      <c r="W25" s="10" t="s">
        <v>70</v>
      </c>
      <c r="X25" s="11">
        <v>829.6</v>
      </c>
    </row>
    <row r="26" spans="1:29" x14ac:dyDescent="0.25">
      <c r="C26" s="10" t="s">
        <v>137</v>
      </c>
      <c r="D26" s="11">
        <v>219.6</v>
      </c>
      <c r="M26" s="10" t="s">
        <v>138</v>
      </c>
      <c r="N26" s="11">
        <v>37</v>
      </c>
      <c r="O26" s="57">
        <f t="shared" si="0"/>
        <v>-1.0810810810810807</v>
      </c>
      <c r="P26" s="11">
        <v>36.6</v>
      </c>
    </row>
    <row r="27" spans="1:29" x14ac:dyDescent="0.25">
      <c r="M27" s="10" t="s">
        <v>139</v>
      </c>
      <c r="N27" s="11">
        <v>39</v>
      </c>
      <c r="O27" s="57">
        <f t="shared" si="0"/>
        <v>43.897435897435884</v>
      </c>
      <c r="P27" s="11">
        <v>56.12</v>
      </c>
    </row>
    <row r="28" spans="1:29" x14ac:dyDescent="0.25">
      <c r="M28" s="10" t="s">
        <v>140</v>
      </c>
      <c r="N28" s="11">
        <v>28</v>
      </c>
      <c r="O28" s="57">
        <f t="shared" si="0"/>
        <v>30.714285714285722</v>
      </c>
      <c r="P28" s="11">
        <v>36.6</v>
      </c>
    </row>
    <row r="29" spans="1:29" x14ac:dyDescent="0.25">
      <c r="M29" s="10" t="s">
        <v>141</v>
      </c>
      <c r="N29" s="11">
        <v>37</v>
      </c>
      <c r="O29" s="57">
        <f t="shared" si="0"/>
        <v>-1.0810810810810807</v>
      </c>
      <c r="P29" s="11">
        <v>36.6</v>
      </c>
    </row>
    <row r="30" spans="1:29" x14ac:dyDescent="0.25">
      <c r="M30" s="10" t="s">
        <v>142</v>
      </c>
      <c r="N30" s="11">
        <v>31</v>
      </c>
      <c r="O30" s="57"/>
      <c r="P30" s="11">
        <v>34.159999999999997</v>
      </c>
    </row>
    <row r="31" spans="1:29" x14ac:dyDescent="0.25">
      <c r="N31" s="11"/>
      <c r="O31" s="58">
        <f>AVERAGE(O8:O30)</f>
        <v>18.416995533476651</v>
      </c>
    </row>
    <row r="32" spans="1:29" x14ac:dyDescent="0.25">
      <c r="F32" s="49"/>
    </row>
  </sheetData>
  <mergeCells count="11">
    <mergeCell ref="AA6:AB6"/>
    <mergeCell ref="Y21:AB21"/>
    <mergeCell ref="Y5:Z5"/>
    <mergeCell ref="A6:B6"/>
    <mergeCell ref="C6:D6"/>
    <mergeCell ref="E6:F6"/>
    <mergeCell ref="G6:H6"/>
    <mergeCell ref="I6:J6"/>
    <mergeCell ref="W6:X6"/>
    <mergeCell ref="Y6:Z6"/>
    <mergeCell ref="M6:N6"/>
  </mergeCells>
  <pageMargins left="0.7" right="0.7" top="0.75" bottom="0.75" header="0.3" footer="0.3"/>
  <pageSetup paperSize="9" scale="95" orientation="landscape" verticalDpi="0" r:id="rId1"/>
  <colBreaks count="2" manualBreakCount="2">
    <brk id="4" max="30" man="1"/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2"/>
  <sheetViews>
    <sheetView workbookViewId="0">
      <selection activeCell="B27" sqref="B27"/>
    </sheetView>
  </sheetViews>
  <sheetFormatPr baseColWidth="10" defaultColWidth="11.42578125" defaultRowHeight="15" x14ac:dyDescent="0.25"/>
  <cols>
    <col min="1" max="1" width="42.140625" customWidth="1"/>
    <col min="2" max="2" width="34.5703125" customWidth="1"/>
    <col min="3" max="3" width="28.85546875" customWidth="1"/>
    <col min="4" max="4" width="33.85546875" customWidth="1"/>
    <col min="5" max="5" width="17.140625" customWidth="1"/>
    <col min="6" max="6" width="22.42578125" customWidth="1"/>
    <col min="7" max="7" width="32.7109375" customWidth="1"/>
    <col min="8" max="9" width="20.28515625" customWidth="1"/>
    <col min="10" max="10" width="24" customWidth="1"/>
    <col min="11" max="11" width="18.28515625" customWidth="1"/>
    <col min="12" max="12" width="43.42578125" customWidth="1"/>
    <col min="13" max="13" width="20" customWidth="1"/>
    <col min="14" max="14" width="29.7109375" customWidth="1"/>
    <col min="15" max="15" width="37.42578125" customWidth="1"/>
    <col min="16" max="16" width="22.28515625" customWidth="1"/>
    <col min="17" max="17" width="15.28515625" customWidth="1"/>
    <col min="18" max="18" width="30.28515625" customWidth="1"/>
    <col min="19" max="19" width="15.5703125" customWidth="1"/>
    <col min="20" max="20" width="19.42578125" customWidth="1"/>
    <col min="21" max="21" width="17.7109375" customWidth="1"/>
    <col min="22" max="22" width="32" customWidth="1"/>
    <col min="23" max="23" width="15.28515625" customWidth="1"/>
    <col min="24" max="24" width="15.85546875" customWidth="1"/>
    <col min="25" max="25" width="16.28515625" customWidth="1"/>
    <col min="26" max="26" width="20.28515625" customWidth="1"/>
    <col min="27" max="27" width="26.28515625" customWidth="1"/>
    <col min="28" max="28" width="18.7109375" customWidth="1"/>
    <col min="29" max="29" width="15.42578125" customWidth="1"/>
    <col min="30" max="30" width="18.85546875" customWidth="1"/>
  </cols>
  <sheetData>
    <row r="1" spans="1:28" x14ac:dyDescent="0.25">
      <c r="A1" s="3" t="s">
        <v>0</v>
      </c>
      <c r="B1" s="3"/>
    </row>
    <row r="2" spans="1:28" ht="15.75" thickBot="1" x14ac:dyDescent="0.3"/>
    <row r="3" spans="1:28" ht="15.75" thickBot="1" x14ac:dyDescent="0.3">
      <c r="A3" s="2" t="s">
        <v>1</v>
      </c>
      <c r="B3" s="29"/>
      <c r="C3" s="4">
        <v>0.1</v>
      </c>
      <c r="D3" s="2" t="s">
        <v>1</v>
      </c>
      <c r="E3" s="32">
        <v>0.4</v>
      </c>
      <c r="F3" s="2" t="s">
        <v>1</v>
      </c>
      <c r="G3" s="51">
        <v>0.25</v>
      </c>
      <c r="H3" s="29" t="s">
        <v>1</v>
      </c>
      <c r="I3" s="4" t="s">
        <v>2</v>
      </c>
      <c r="J3" s="2" t="s">
        <v>1</v>
      </c>
      <c r="K3" s="4">
        <v>1</v>
      </c>
      <c r="L3" s="2" t="s">
        <v>1</v>
      </c>
      <c r="M3" s="4" t="s">
        <v>2</v>
      </c>
      <c r="N3" s="2" t="s">
        <v>1</v>
      </c>
      <c r="O3" s="4">
        <v>0.25</v>
      </c>
      <c r="P3" s="2" t="s">
        <v>1</v>
      </c>
      <c r="Q3" s="8" t="s">
        <v>2</v>
      </c>
      <c r="R3" s="2" t="s">
        <v>1</v>
      </c>
      <c r="S3" s="4">
        <v>1</v>
      </c>
      <c r="T3" s="2" t="s">
        <v>1</v>
      </c>
      <c r="U3" s="8" t="s">
        <v>2</v>
      </c>
      <c r="V3" s="2" t="s">
        <v>1</v>
      </c>
      <c r="W3" s="8" t="s">
        <v>2</v>
      </c>
      <c r="X3" s="2" t="s">
        <v>1</v>
      </c>
      <c r="Y3" s="8" t="s">
        <v>2</v>
      </c>
      <c r="Z3" s="2" t="s">
        <v>1</v>
      </c>
      <c r="AA3" s="28" t="s">
        <v>2</v>
      </c>
    </row>
    <row r="4" spans="1:28" ht="15.75" thickBot="1" x14ac:dyDescent="0.3">
      <c r="A4" s="1" t="s">
        <v>3</v>
      </c>
      <c r="B4" s="59"/>
      <c r="C4" s="6">
        <v>0.15</v>
      </c>
      <c r="F4" s="38"/>
    </row>
    <row r="5" spans="1:28" ht="15.75" thickBot="1" x14ac:dyDescent="0.3">
      <c r="A5" s="2" t="s">
        <v>4</v>
      </c>
      <c r="B5" s="29"/>
      <c r="C5" s="7" t="s">
        <v>148</v>
      </c>
      <c r="D5" s="2" t="s">
        <v>4</v>
      </c>
      <c r="E5" s="29" t="s">
        <v>6</v>
      </c>
      <c r="F5" s="2" t="s">
        <v>4</v>
      </c>
      <c r="G5" s="7" t="s">
        <v>7</v>
      </c>
      <c r="H5" s="29" t="s">
        <v>4</v>
      </c>
      <c r="I5" s="7" t="s">
        <v>8</v>
      </c>
      <c r="J5" s="2" t="s">
        <v>4</v>
      </c>
      <c r="K5" s="7" t="s">
        <v>8</v>
      </c>
      <c r="L5" s="2" t="s">
        <v>9</v>
      </c>
      <c r="M5" s="7" t="s">
        <v>8</v>
      </c>
      <c r="N5" s="2" t="s">
        <v>4</v>
      </c>
      <c r="O5" s="7" t="s">
        <v>10</v>
      </c>
      <c r="P5" s="2" t="s">
        <v>11</v>
      </c>
      <c r="Q5" s="7" t="s">
        <v>8</v>
      </c>
      <c r="R5" s="2" t="s">
        <v>4</v>
      </c>
      <c r="S5" s="7" t="s">
        <v>8</v>
      </c>
      <c r="T5" s="2" t="s">
        <v>12</v>
      </c>
      <c r="U5" s="7" t="s">
        <v>8</v>
      </c>
      <c r="V5" s="2" t="s">
        <v>13</v>
      </c>
      <c r="W5" s="7" t="s">
        <v>8</v>
      </c>
      <c r="X5" s="101" t="s">
        <v>14</v>
      </c>
      <c r="Y5" s="102"/>
      <c r="Z5" s="23" t="s">
        <v>4</v>
      </c>
      <c r="AA5" s="24"/>
    </row>
    <row r="6" spans="1:28" x14ac:dyDescent="0.25">
      <c r="A6" s="107" t="s">
        <v>15</v>
      </c>
      <c r="B6" s="107"/>
      <c r="C6" s="107"/>
      <c r="D6" s="105" t="s">
        <v>16</v>
      </c>
      <c r="E6" s="105"/>
      <c r="F6" s="106" t="s">
        <v>17</v>
      </c>
      <c r="G6" s="105"/>
      <c r="H6" s="95" t="s">
        <v>18</v>
      </c>
      <c r="I6" s="95"/>
      <c r="J6" s="105" t="s">
        <v>19</v>
      </c>
      <c r="K6" s="105"/>
      <c r="L6" s="17" t="s">
        <v>20</v>
      </c>
      <c r="M6" s="17"/>
      <c r="N6" s="95" t="s">
        <v>21</v>
      </c>
      <c r="O6" s="95"/>
      <c r="P6" s="17" t="s">
        <v>22</v>
      </c>
      <c r="Q6" s="17"/>
      <c r="R6" s="17" t="s">
        <v>23</v>
      </c>
      <c r="S6" s="17"/>
      <c r="T6" s="17" t="s">
        <v>24</v>
      </c>
      <c r="U6" s="17"/>
      <c r="V6" s="95" t="s">
        <v>25</v>
      </c>
      <c r="W6" s="95"/>
      <c r="X6" s="95" t="s">
        <v>26</v>
      </c>
      <c r="Y6" s="95"/>
      <c r="Z6" s="95" t="s">
        <v>27</v>
      </c>
      <c r="AA6" s="95"/>
    </row>
    <row r="7" spans="1:28" x14ac:dyDescent="0.25">
      <c r="A7" s="9" t="s">
        <v>28</v>
      </c>
      <c r="B7" s="9" t="s">
        <v>31</v>
      </c>
      <c r="C7" s="50" t="s">
        <v>29</v>
      </c>
      <c r="D7" s="9" t="s">
        <v>28</v>
      </c>
      <c r="E7" s="33" t="s">
        <v>30</v>
      </c>
      <c r="F7" s="40" t="s">
        <v>28</v>
      </c>
      <c r="G7" s="53" t="s">
        <v>30</v>
      </c>
      <c r="H7" s="36" t="s">
        <v>28</v>
      </c>
      <c r="I7" s="12" t="s">
        <v>30</v>
      </c>
      <c r="J7" s="9" t="s">
        <v>28</v>
      </c>
      <c r="K7" s="9" t="s">
        <v>30</v>
      </c>
      <c r="L7" s="9" t="s">
        <v>28</v>
      </c>
      <c r="M7" s="9" t="s">
        <v>31</v>
      </c>
      <c r="N7" s="9" t="s">
        <v>28</v>
      </c>
      <c r="O7" s="9" t="s">
        <v>31</v>
      </c>
      <c r="P7" s="9" t="s">
        <v>28</v>
      </c>
      <c r="Q7" s="9" t="s">
        <v>31</v>
      </c>
      <c r="R7" s="9" t="s">
        <v>28</v>
      </c>
      <c r="S7" s="9" t="s">
        <v>31</v>
      </c>
      <c r="T7" s="9" t="s">
        <v>28</v>
      </c>
      <c r="U7" s="9" t="s">
        <v>31</v>
      </c>
      <c r="V7" s="9" t="s">
        <v>28</v>
      </c>
      <c r="W7" s="9" t="s">
        <v>31</v>
      </c>
      <c r="X7" s="9" t="s">
        <v>32</v>
      </c>
      <c r="Y7" s="9" t="s">
        <v>33</v>
      </c>
      <c r="Z7" s="9" t="s">
        <v>32</v>
      </c>
      <c r="AA7" s="9" t="s">
        <v>34</v>
      </c>
      <c r="AB7" s="9" t="s">
        <v>35</v>
      </c>
    </row>
    <row r="8" spans="1:28" x14ac:dyDescent="0.25">
      <c r="A8" s="10" t="s">
        <v>36</v>
      </c>
      <c r="B8" s="13">
        <v>269.51</v>
      </c>
      <c r="C8" s="61">
        <f>(B8*1.8/100)+B8</f>
        <v>274.36117999999999</v>
      </c>
      <c r="D8" s="10" t="s">
        <v>37</v>
      </c>
      <c r="E8" s="34">
        <v>132.97999999999999</v>
      </c>
      <c r="F8" s="41" t="s">
        <v>38</v>
      </c>
      <c r="G8" s="52">
        <v>100</v>
      </c>
      <c r="H8" s="37" t="s">
        <v>39</v>
      </c>
      <c r="I8" s="13">
        <v>103.7</v>
      </c>
      <c r="J8" s="10" t="s">
        <v>40</v>
      </c>
      <c r="K8" s="11">
        <v>128.1</v>
      </c>
      <c r="L8" s="10" t="s">
        <v>41</v>
      </c>
      <c r="M8" s="11">
        <v>103.7</v>
      </c>
      <c r="N8" s="10" t="s">
        <v>42</v>
      </c>
      <c r="O8" s="11">
        <v>97.6</v>
      </c>
      <c r="P8" s="10" t="s">
        <v>42</v>
      </c>
      <c r="Q8" s="11">
        <v>86.62</v>
      </c>
      <c r="R8" s="10" t="s">
        <v>43</v>
      </c>
      <c r="S8" s="11">
        <v>90</v>
      </c>
      <c r="T8" s="10" t="s">
        <v>43</v>
      </c>
      <c r="U8" s="11">
        <v>97.6</v>
      </c>
      <c r="V8" s="10" t="s">
        <v>42</v>
      </c>
      <c r="W8" s="11">
        <v>86.62</v>
      </c>
      <c r="X8" s="10" t="s">
        <v>39</v>
      </c>
      <c r="Y8" s="10">
        <v>122</v>
      </c>
      <c r="Z8" s="10" t="s">
        <v>44</v>
      </c>
      <c r="AA8" s="10">
        <v>87.84</v>
      </c>
      <c r="AB8" s="10">
        <v>112.24</v>
      </c>
    </row>
    <row r="9" spans="1:28" x14ac:dyDescent="0.25">
      <c r="A9" s="10" t="s">
        <v>45</v>
      </c>
      <c r="B9" s="13">
        <v>376.8</v>
      </c>
      <c r="C9" s="61">
        <f t="shared" ref="C9:C17" si="0">(B9*1.8/100)+B9</f>
        <v>383.58240000000001</v>
      </c>
      <c r="D9" s="10" t="s">
        <v>46</v>
      </c>
      <c r="E9" s="34">
        <v>179.34</v>
      </c>
      <c r="F9" s="41" t="s">
        <v>47</v>
      </c>
      <c r="G9" s="52">
        <v>60</v>
      </c>
      <c r="H9" s="37" t="s">
        <v>48</v>
      </c>
      <c r="I9" s="13">
        <v>140.30000000000001</v>
      </c>
      <c r="J9" s="10" t="s">
        <v>49</v>
      </c>
      <c r="K9" s="11">
        <v>103.7</v>
      </c>
      <c r="L9" s="10" t="s">
        <v>50</v>
      </c>
      <c r="M9" s="11">
        <v>146.4</v>
      </c>
      <c r="N9" s="10" t="s">
        <v>51</v>
      </c>
      <c r="O9" s="11">
        <v>146.4</v>
      </c>
      <c r="P9" s="10" t="s">
        <v>51</v>
      </c>
      <c r="Q9" s="11">
        <v>129.32</v>
      </c>
      <c r="R9" s="10" t="s">
        <v>52</v>
      </c>
      <c r="S9" s="11">
        <v>90</v>
      </c>
      <c r="T9" s="10" t="s">
        <v>39</v>
      </c>
      <c r="U9" s="11">
        <v>73.2</v>
      </c>
      <c r="V9" s="10" t="s">
        <v>51</v>
      </c>
      <c r="W9" s="11">
        <v>129.32</v>
      </c>
      <c r="X9" s="10" t="s">
        <v>48</v>
      </c>
      <c r="Y9" s="10">
        <v>146.4</v>
      </c>
      <c r="Z9" s="10" t="s">
        <v>53</v>
      </c>
      <c r="AA9" s="10">
        <v>106.14</v>
      </c>
      <c r="AB9" s="10">
        <v>130.54</v>
      </c>
    </row>
    <row r="10" spans="1:28" x14ac:dyDescent="0.25">
      <c r="A10" s="10" t="s">
        <v>54</v>
      </c>
      <c r="B10" s="13">
        <v>404.27</v>
      </c>
      <c r="C10" s="61">
        <f t="shared" si="0"/>
        <v>411.54685999999998</v>
      </c>
      <c r="D10" s="10" t="s">
        <v>54</v>
      </c>
      <c r="E10" s="34">
        <v>463.6</v>
      </c>
      <c r="F10" s="41" t="s">
        <v>55</v>
      </c>
      <c r="G10" s="52">
        <v>90</v>
      </c>
      <c r="H10" s="37" t="s">
        <v>56</v>
      </c>
      <c r="I10" s="13">
        <v>280.60000000000002</v>
      </c>
      <c r="J10" s="10" t="s">
        <v>57</v>
      </c>
      <c r="K10" s="11">
        <v>103.7</v>
      </c>
      <c r="L10" s="10" t="s">
        <v>58</v>
      </c>
      <c r="M10" s="11">
        <v>305</v>
      </c>
      <c r="N10" s="10" t="s">
        <v>59</v>
      </c>
      <c r="O10" s="11">
        <v>219.6</v>
      </c>
      <c r="P10" s="10" t="s">
        <v>59</v>
      </c>
      <c r="Q10" s="11">
        <v>167.14</v>
      </c>
      <c r="R10" s="10" t="s">
        <v>60</v>
      </c>
      <c r="S10" s="11">
        <v>100</v>
      </c>
      <c r="T10" s="10" t="s">
        <v>48</v>
      </c>
      <c r="U10" s="11">
        <v>85.4</v>
      </c>
      <c r="V10" s="10" t="s">
        <v>59</v>
      </c>
      <c r="W10" s="11">
        <v>167.14</v>
      </c>
      <c r="X10" s="10" t="s">
        <v>56</v>
      </c>
      <c r="Y10" s="10">
        <v>427</v>
      </c>
      <c r="Z10" s="10" t="s">
        <v>61</v>
      </c>
      <c r="AA10" s="10">
        <v>231.79999999999998</v>
      </c>
      <c r="AB10" s="10">
        <v>256.2</v>
      </c>
    </row>
    <row r="11" spans="1:28" x14ac:dyDescent="0.25">
      <c r="A11" s="10" t="s">
        <v>62</v>
      </c>
      <c r="B11" s="13">
        <v>1348.88</v>
      </c>
      <c r="C11" s="61">
        <f t="shared" si="0"/>
        <v>1373.15984</v>
      </c>
      <c r="D11" s="10" t="s">
        <v>63</v>
      </c>
      <c r="E11" s="34">
        <v>1018.7</v>
      </c>
      <c r="F11" s="41" t="s">
        <v>57</v>
      </c>
      <c r="G11" s="52">
        <v>120</v>
      </c>
      <c r="H11" s="37" t="s">
        <v>64</v>
      </c>
      <c r="I11" s="13">
        <v>225.7</v>
      </c>
      <c r="J11" s="10" t="s">
        <v>65</v>
      </c>
      <c r="K11" s="11">
        <v>115.9</v>
      </c>
      <c r="L11" s="10" t="s">
        <v>66</v>
      </c>
      <c r="M11" s="11">
        <v>829.6</v>
      </c>
      <c r="N11" s="10" t="s">
        <v>67</v>
      </c>
      <c r="O11" s="11">
        <v>97.6</v>
      </c>
      <c r="P11" s="10" t="s">
        <v>67</v>
      </c>
      <c r="Q11" s="11">
        <v>86.62</v>
      </c>
      <c r="R11" s="10" t="s">
        <v>56</v>
      </c>
      <c r="S11" s="11">
        <v>200</v>
      </c>
      <c r="T11" s="10" t="s">
        <v>56</v>
      </c>
      <c r="U11" s="11">
        <v>183</v>
      </c>
      <c r="V11" s="10" t="s">
        <v>67</v>
      </c>
      <c r="W11" s="11">
        <v>86.62</v>
      </c>
      <c r="X11" s="10" t="s">
        <v>68</v>
      </c>
      <c r="Y11" s="10">
        <v>488</v>
      </c>
      <c r="Z11" s="10" t="s">
        <v>69</v>
      </c>
      <c r="AA11" s="10">
        <v>463.59999999999997</v>
      </c>
      <c r="AB11" s="10">
        <v>488</v>
      </c>
    </row>
    <row r="12" spans="1:28" x14ac:dyDescent="0.25">
      <c r="A12" s="10" t="s">
        <v>70</v>
      </c>
      <c r="B12" s="13">
        <v>1923.24</v>
      </c>
      <c r="C12" s="61">
        <f t="shared" si="0"/>
        <v>1957.85832</v>
      </c>
      <c r="D12" s="10" t="s">
        <v>71</v>
      </c>
      <c r="E12" s="34">
        <v>1683.6</v>
      </c>
      <c r="F12" s="41" t="s">
        <v>72</v>
      </c>
      <c r="G12" s="52">
        <v>200</v>
      </c>
      <c r="H12" s="37" t="s">
        <v>73</v>
      </c>
      <c r="I12" s="13">
        <v>622.20000000000005</v>
      </c>
      <c r="J12" s="10" t="s">
        <v>58</v>
      </c>
      <c r="K12" s="11">
        <v>244</v>
      </c>
      <c r="L12" s="10" t="s">
        <v>74</v>
      </c>
      <c r="M12" s="11">
        <v>1018.7</v>
      </c>
      <c r="N12" s="10" t="s">
        <v>75</v>
      </c>
      <c r="O12" s="11">
        <v>152.5</v>
      </c>
      <c r="P12" s="10" t="s">
        <v>75</v>
      </c>
      <c r="Q12" s="11">
        <v>114.68</v>
      </c>
      <c r="R12" s="10" t="s">
        <v>76</v>
      </c>
      <c r="S12" s="11">
        <v>180</v>
      </c>
      <c r="T12" s="10" t="s">
        <v>77</v>
      </c>
      <c r="U12" s="11">
        <v>610</v>
      </c>
      <c r="V12" s="10" t="s">
        <v>75</v>
      </c>
      <c r="W12" s="11">
        <v>114.68</v>
      </c>
      <c r="X12" s="10" t="s">
        <v>78</v>
      </c>
      <c r="Y12" s="10">
        <v>1098</v>
      </c>
      <c r="Z12" s="10" t="s">
        <v>79</v>
      </c>
      <c r="AA12" s="10">
        <v>829.6</v>
      </c>
      <c r="AB12" s="10">
        <v>854</v>
      </c>
    </row>
    <row r="13" spans="1:28" x14ac:dyDescent="0.25">
      <c r="A13" s="10" t="s">
        <v>80</v>
      </c>
      <c r="B13" s="13">
        <v>172.7</v>
      </c>
      <c r="C13" s="61">
        <f t="shared" si="0"/>
        <v>175.80859999999998</v>
      </c>
      <c r="D13" s="18" t="s">
        <v>81</v>
      </c>
      <c r="E13" s="35">
        <v>4026</v>
      </c>
      <c r="F13" s="41" t="s">
        <v>82</v>
      </c>
      <c r="G13" s="52">
        <v>200</v>
      </c>
      <c r="H13" s="37" t="s">
        <v>83</v>
      </c>
      <c r="I13" s="13">
        <v>969.9</v>
      </c>
      <c r="J13" s="10" t="s">
        <v>84</v>
      </c>
      <c r="K13" s="11">
        <v>134.19999999999999</v>
      </c>
      <c r="L13" s="10" t="s">
        <v>40</v>
      </c>
      <c r="M13" s="11">
        <v>146.4</v>
      </c>
      <c r="N13" s="10" t="s">
        <v>85</v>
      </c>
      <c r="O13" s="11">
        <v>97.6</v>
      </c>
      <c r="P13" s="10" t="s">
        <v>85</v>
      </c>
      <c r="Q13" s="11">
        <v>86.62</v>
      </c>
      <c r="R13" s="10" t="s">
        <v>78</v>
      </c>
      <c r="S13" s="11">
        <v>445</v>
      </c>
      <c r="T13" s="10" t="s">
        <v>78</v>
      </c>
      <c r="U13" s="11">
        <v>366</v>
      </c>
      <c r="V13" s="10" t="s">
        <v>85</v>
      </c>
      <c r="W13" s="11">
        <v>86.62</v>
      </c>
      <c r="X13" s="10" t="s">
        <v>86</v>
      </c>
      <c r="Y13" s="10">
        <v>1586</v>
      </c>
      <c r="Z13" s="10" t="s">
        <v>87</v>
      </c>
      <c r="AA13" s="10">
        <v>1000.4</v>
      </c>
      <c r="AB13" s="10">
        <v>1024.8</v>
      </c>
    </row>
    <row r="14" spans="1:28" x14ac:dyDescent="0.25">
      <c r="A14" s="10" t="s">
        <v>88</v>
      </c>
      <c r="B14" s="13">
        <v>345.4</v>
      </c>
      <c r="C14" s="61">
        <f t="shared" si="0"/>
        <v>351.61719999999997</v>
      </c>
      <c r="D14" s="10" t="s">
        <v>89</v>
      </c>
      <c r="E14" s="34">
        <v>231.8</v>
      </c>
      <c r="F14" s="41" t="s">
        <v>83</v>
      </c>
      <c r="G14" s="52">
        <v>650</v>
      </c>
      <c r="H14" s="37" t="s">
        <v>40</v>
      </c>
      <c r="I14" s="13">
        <v>176.9</v>
      </c>
      <c r="J14" s="10" t="s">
        <v>70</v>
      </c>
      <c r="K14" s="11">
        <v>976</v>
      </c>
      <c r="L14" s="10" t="s">
        <v>90</v>
      </c>
      <c r="M14" s="11">
        <v>134.19999999999999</v>
      </c>
      <c r="N14" s="10" t="s">
        <v>91</v>
      </c>
      <c r="O14" s="11">
        <v>1342</v>
      </c>
      <c r="P14" s="10" t="s">
        <v>91</v>
      </c>
      <c r="Q14" s="11">
        <v>1493.28</v>
      </c>
      <c r="R14" s="10" t="s">
        <v>77</v>
      </c>
      <c r="S14" s="11">
        <v>665</v>
      </c>
      <c r="T14" s="10" t="s">
        <v>40</v>
      </c>
      <c r="U14" s="11">
        <v>97.6</v>
      </c>
      <c r="V14" s="10" t="s">
        <v>91</v>
      </c>
      <c r="W14" s="11">
        <v>1493.28</v>
      </c>
      <c r="X14" s="10" t="s">
        <v>92</v>
      </c>
      <c r="Y14" s="10">
        <v>128.1</v>
      </c>
      <c r="Z14" s="10" t="s">
        <v>93</v>
      </c>
      <c r="AA14" s="10">
        <v>146.4</v>
      </c>
      <c r="AB14" s="10">
        <v>195.2</v>
      </c>
    </row>
    <row r="15" spans="1:28" x14ac:dyDescent="0.25">
      <c r="A15" s="10" t="s">
        <v>94</v>
      </c>
      <c r="B15" s="13">
        <v>252.5</v>
      </c>
      <c r="C15" s="61">
        <f t="shared" si="0"/>
        <v>257.04500000000002</v>
      </c>
      <c r="D15" s="10" t="s">
        <v>95</v>
      </c>
      <c r="E15" s="34">
        <v>308.66000000000003</v>
      </c>
      <c r="F15" s="41" t="s">
        <v>70</v>
      </c>
      <c r="G15" s="52">
        <v>550</v>
      </c>
      <c r="H15" s="37" t="s">
        <v>96</v>
      </c>
      <c r="I15" s="13">
        <v>683.2</v>
      </c>
      <c r="J15" s="10" t="s">
        <v>97</v>
      </c>
      <c r="K15" s="11">
        <v>634.4</v>
      </c>
      <c r="L15" s="10" t="s">
        <v>98</v>
      </c>
      <c r="M15" s="11">
        <v>134.19999999999999</v>
      </c>
      <c r="N15" s="10" t="s">
        <v>99</v>
      </c>
      <c r="O15" s="11">
        <v>122</v>
      </c>
      <c r="P15" s="10" t="s">
        <v>99</v>
      </c>
      <c r="Q15" s="11">
        <v>101.26</v>
      </c>
      <c r="R15" s="10" t="s">
        <v>100</v>
      </c>
      <c r="S15" s="11">
        <v>85</v>
      </c>
      <c r="T15" s="10"/>
      <c r="U15" s="10"/>
      <c r="V15" s="10" t="s">
        <v>99</v>
      </c>
      <c r="W15" s="11">
        <v>101.26</v>
      </c>
      <c r="X15" s="10" t="s">
        <v>101</v>
      </c>
      <c r="Y15" s="10">
        <v>213.5</v>
      </c>
      <c r="Z15" s="10" t="s">
        <v>102</v>
      </c>
      <c r="AA15" s="10">
        <v>195.2</v>
      </c>
      <c r="AB15" s="10">
        <v>219.6</v>
      </c>
    </row>
    <row r="16" spans="1:28" x14ac:dyDescent="0.25">
      <c r="A16" s="10" t="s">
        <v>103</v>
      </c>
      <c r="B16" s="13">
        <v>334.93</v>
      </c>
      <c r="C16" s="61">
        <f t="shared" si="0"/>
        <v>340.95874000000003</v>
      </c>
      <c r="D16" s="10" t="s">
        <v>104</v>
      </c>
      <c r="E16" s="34">
        <v>231.8</v>
      </c>
      <c r="F16" s="41"/>
      <c r="G16" s="22"/>
      <c r="H16" s="37" t="s">
        <v>43</v>
      </c>
      <c r="I16" s="13">
        <v>122</v>
      </c>
      <c r="J16" s="10" t="s">
        <v>106</v>
      </c>
      <c r="K16" s="11">
        <v>1024.8</v>
      </c>
      <c r="L16" s="10"/>
      <c r="M16" s="10"/>
      <c r="N16" s="10" t="s">
        <v>107</v>
      </c>
      <c r="O16" s="11">
        <v>97.6</v>
      </c>
      <c r="P16" s="10" t="s">
        <v>107</v>
      </c>
      <c r="Q16" s="11">
        <v>86.62</v>
      </c>
      <c r="R16" s="10" t="s">
        <v>108</v>
      </c>
      <c r="S16" s="11">
        <v>125</v>
      </c>
      <c r="T16" s="10"/>
      <c r="U16" s="10"/>
      <c r="V16" s="10" t="s">
        <v>107</v>
      </c>
      <c r="W16" s="11">
        <v>86.62</v>
      </c>
      <c r="X16" s="10" t="s">
        <v>109</v>
      </c>
      <c r="Y16" s="10">
        <v>1037</v>
      </c>
      <c r="Z16" s="10" t="s">
        <v>110</v>
      </c>
      <c r="AA16" s="10">
        <v>268.39999999999998</v>
      </c>
      <c r="AB16" s="10">
        <v>292.8</v>
      </c>
    </row>
    <row r="17" spans="1:28" ht="15.75" thickBot="1" x14ac:dyDescent="0.3">
      <c r="A17" s="10" t="s">
        <v>147</v>
      </c>
      <c r="B17" s="13">
        <v>426.51</v>
      </c>
      <c r="C17" s="61">
        <f t="shared" si="0"/>
        <v>434.18718000000001</v>
      </c>
      <c r="D17" s="10" t="s">
        <v>111</v>
      </c>
      <c r="E17" s="34">
        <v>113.46</v>
      </c>
      <c r="F17" s="44"/>
      <c r="G17" s="46"/>
      <c r="H17" s="37"/>
      <c r="I17" s="10"/>
      <c r="J17" s="10" t="s">
        <v>112</v>
      </c>
      <c r="K17" s="11">
        <v>1207.8</v>
      </c>
      <c r="L17" s="10"/>
      <c r="M17" s="10"/>
      <c r="N17" s="10" t="s">
        <v>113</v>
      </c>
      <c r="O17" s="11">
        <v>233.5</v>
      </c>
      <c r="P17" s="10" t="s">
        <v>114</v>
      </c>
      <c r="Q17" s="11">
        <v>212.28</v>
      </c>
      <c r="R17" s="10" t="s">
        <v>115</v>
      </c>
      <c r="S17" s="11">
        <v>100</v>
      </c>
      <c r="T17" s="10"/>
      <c r="U17" s="10"/>
      <c r="V17" s="10" t="s">
        <v>114</v>
      </c>
      <c r="W17" s="11">
        <v>212.28</v>
      </c>
      <c r="X17" s="10" t="s">
        <v>104</v>
      </c>
      <c r="Y17" s="10">
        <v>152.5</v>
      </c>
      <c r="Z17" s="10" t="s">
        <v>116</v>
      </c>
      <c r="AA17" s="10">
        <v>183</v>
      </c>
      <c r="AB17" s="10">
        <v>207.4</v>
      </c>
    </row>
    <row r="18" spans="1:28" x14ac:dyDescent="0.25">
      <c r="A18" s="10"/>
      <c r="B18" s="10"/>
      <c r="C18" s="60"/>
      <c r="D18" s="10" t="s">
        <v>70</v>
      </c>
      <c r="E18" s="11">
        <v>1244.4000000000001</v>
      </c>
      <c r="H18" s="10"/>
      <c r="I18" s="10"/>
      <c r="J18" s="10" t="s">
        <v>117</v>
      </c>
      <c r="K18" s="11">
        <v>3416</v>
      </c>
      <c r="L18" s="10"/>
      <c r="M18" s="10"/>
      <c r="N18" s="10" t="s">
        <v>118</v>
      </c>
      <c r="O18" s="11">
        <v>1098</v>
      </c>
      <c r="P18" s="10" t="s">
        <v>119</v>
      </c>
      <c r="Q18" s="11">
        <v>668.56</v>
      </c>
      <c r="R18" s="10" t="s">
        <v>70</v>
      </c>
      <c r="S18" s="11">
        <v>600</v>
      </c>
      <c r="T18" s="10"/>
      <c r="U18" s="10"/>
      <c r="V18" s="10" t="s">
        <v>119</v>
      </c>
      <c r="W18" s="11">
        <v>668.56</v>
      </c>
      <c r="X18" s="10" t="s">
        <v>120</v>
      </c>
      <c r="Y18" s="10">
        <v>152.5</v>
      </c>
      <c r="Z18" s="10" t="s">
        <v>121</v>
      </c>
      <c r="AA18" s="10">
        <v>244</v>
      </c>
      <c r="AB18" s="10">
        <v>268.39999999999998</v>
      </c>
    </row>
    <row r="19" spans="1:28" x14ac:dyDescent="0.25">
      <c r="A19" s="10" t="s">
        <v>122</v>
      </c>
      <c r="B19" s="10"/>
      <c r="C19" s="60"/>
      <c r="D19" s="10" t="s">
        <v>43</v>
      </c>
      <c r="E19" s="11">
        <v>164.7</v>
      </c>
      <c r="H19" s="10"/>
      <c r="I19" s="9"/>
      <c r="J19" s="10"/>
      <c r="K19" s="10"/>
      <c r="L19" s="10"/>
      <c r="M19" s="10"/>
      <c r="N19" s="10" t="s">
        <v>123</v>
      </c>
      <c r="O19" s="11">
        <v>549</v>
      </c>
      <c r="P19" s="10" t="s">
        <v>124</v>
      </c>
      <c r="Q19" s="11">
        <v>334.28</v>
      </c>
      <c r="R19" s="10"/>
      <c r="S19" s="10"/>
      <c r="T19" s="10"/>
      <c r="U19" s="10"/>
      <c r="V19" s="10" t="s">
        <v>124</v>
      </c>
      <c r="W19" s="11">
        <v>334.28</v>
      </c>
      <c r="Z19" s="10" t="s">
        <v>125</v>
      </c>
      <c r="AA19" s="10">
        <v>976</v>
      </c>
      <c r="AB19" s="10">
        <v>1000.4</v>
      </c>
    </row>
    <row r="20" spans="1:28" x14ac:dyDescent="0.25">
      <c r="A20" s="10"/>
      <c r="B20" s="10"/>
      <c r="C20" s="10"/>
      <c r="D20" s="22" t="s">
        <v>126</v>
      </c>
      <c r="E20" s="13">
        <v>2147.1999999999998</v>
      </c>
      <c r="H20" s="10"/>
      <c r="I20" s="10"/>
      <c r="J20" s="10"/>
      <c r="K20" s="10"/>
      <c r="L20" s="10"/>
      <c r="M20" s="10"/>
      <c r="N20" s="10" t="s">
        <v>127</v>
      </c>
      <c r="O20" s="11">
        <v>244</v>
      </c>
      <c r="P20" s="10" t="s">
        <v>127</v>
      </c>
      <c r="Q20" s="11">
        <v>217.16</v>
      </c>
      <c r="R20" s="10"/>
      <c r="S20" s="10"/>
      <c r="T20" s="10"/>
      <c r="U20" s="10"/>
      <c r="V20" s="10" t="s">
        <v>127</v>
      </c>
      <c r="W20" s="11">
        <v>217.16</v>
      </c>
      <c r="Z20" s="10" t="s">
        <v>128</v>
      </c>
      <c r="AA20" s="10">
        <v>183</v>
      </c>
      <c r="AB20" s="10">
        <v>207.4</v>
      </c>
    </row>
    <row r="21" spans="1:28" x14ac:dyDescent="0.25">
      <c r="C21" s="10"/>
      <c r="D21" s="22" t="s">
        <v>129</v>
      </c>
      <c r="E21" s="13">
        <v>2416</v>
      </c>
      <c r="H21" s="10"/>
      <c r="I21" s="10"/>
      <c r="J21" s="10"/>
      <c r="K21" s="10"/>
      <c r="L21" s="10"/>
      <c r="M21" s="10"/>
      <c r="N21" s="10" t="s">
        <v>130</v>
      </c>
      <c r="O21" s="11">
        <v>1050.42</v>
      </c>
      <c r="P21" s="10" t="s">
        <v>130</v>
      </c>
      <c r="Q21" s="11">
        <v>1050.42</v>
      </c>
      <c r="R21" s="10"/>
      <c r="S21" s="10"/>
      <c r="T21" s="10"/>
      <c r="U21" s="10"/>
      <c r="V21" s="10" t="s">
        <v>130</v>
      </c>
      <c r="W21" s="11">
        <v>1050.42</v>
      </c>
      <c r="X21" s="96"/>
      <c r="Y21" s="96"/>
      <c r="Z21" s="96"/>
      <c r="AA21" s="96"/>
    </row>
    <row r="22" spans="1:28" ht="18" x14ac:dyDescent="0.35">
      <c r="A22" s="10"/>
      <c r="B22" s="10"/>
      <c r="C22" s="10"/>
      <c r="D22" s="10" t="s">
        <v>131</v>
      </c>
      <c r="E22" s="11">
        <v>58.56</v>
      </c>
      <c r="H22" s="10"/>
      <c r="I22" s="10"/>
      <c r="J22" s="10"/>
      <c r="K22" s="10"/>
      <c r="L22" s="10"/>
      <c r="M22" s="10"/>
      <c r="N22" s="10" t="s">
        <v>132</v>
      </c>
      <c r="O22" s="11">
        <v>485.56</v>
      </c>
      <c r="P22" s="10" t="s">
        <v>132</v>
      </c>
      <c r="Q22" s="11">
        <v>485.56</v>
      </c>
      <c r="R22" s="10"/>
      <c r="S22" s="10"/>
      <c r="T22" s="10"/>
      <c r="U22" s="10"/>
      <c r="V22" s="10" t="s">
        <v>132</v>
      </c>
      <c r="W22" s="11">
        <v>485.56</v>
      </c>
      <c r="Z22" s="25" t="s">
        <v>149</v>
      </c>
    </row>
    <row r="23" spans="1:28" ht="15.75" x14ac:dyDescent="0.3">
      <c r="A23" s="10"/>
      <c r="B23" s="10"/>
      <c r="C23" s="10"/>
      <c r="D23" s="10" t="s">
        <v>133</v>
      </c>
      <c r="E23" s="11">
        <v>113.46</v>
      </c>
      <c r="H23" s="10"/>
      <c r="I23" s="10"/>
      <c r="J23" s="10"/>
      <c r="K23" s="10"/>
      <c r="L23" s="10"/>
      <c r="M23" s="10"/>
      <c r="N23" s="10" t="s">
        <v>134</v>
      </c>
      <c r="O23" s="11">
        <v>152.5</v>
      </c>
      <c r="P23" s="10" t="s">
        <v>134</v>
      </c>
      <c r="Q23" s="11">
        <v>114.68</v>
      </c>
      <c r="R23" s="10"/>
      <c r="S23" s="10"/>
      <c r="T23" s="10"/>
      <c r="U23" s="10"/>
      <c r="V23" s="10" t="s">
        <v>134</v>
      </c>
      <c r="W23" s="11">
        <v>114.68</v>
      </c>
      <c r="Z23" s="26" t="s">
        <v>150</v>
      </c>
    </row>
    <row r="24" spans="1:28" ht="15.75" x14ac:dyDescent="0.3">
      <c r="A24" s="10"/>
      <c r="B24" s="10"/>
      <c r="C24" s="10"/>
      <c r="D24" s="10" t="s">
        <v>135</v>
      </c>
      <c r="E24" s="11">
        <v>58.56</v>
      </c>
      <c r="H24" s="10"/>
      <c r="I24" s="10"/>
      <c r="J24" s="10"/>
      <c r="K24" s="10"/>
      <c r="L24" s="10"/>
      <c r="M24" s="10"/>
      <c r="N24" s="10" t="s">
        <v>111</v>
      </c>
      <c r="O24" s="11">
        <v>76.86</v>
      </c>
      <c r="P24" s="10" t="s">
        <v>111</v>
      </c>
      <c r="Q24" s="11">
        <v>76.86</v>
      </c>
      <c r="R24" s="10"/>
      <c r="S24" s="10"/>
      <c r="T24" s="10"/>
      <c r="U24" s="10"/>
      <c r="V24" s="10" t="s">
        <v>111</v>
      </c>
      <c r="W24" s="11">
        <v>76.86</v>
      </c>
      <c r="Z24" s="27" t="s">
        <v>151</v>
      </c>
    </row>
    <row r="25" spans="1:28" x14ac:dyDescent="0.25">
      <c r="A25" s="9"/>
      <c r="B25" s="9"/>
      <c r="C25" s="10"/>
      <c r="D25" s="10" t="s">
        <v>136</v>
      </c>
      <c r="E25" s="11">
        <v>84.18</v>
      </c>
      <c r="H25" s="10"/>
      <c r="I25" s="10"/>
      <c r="J25" s="10"/>
      <c r="K25" s="10"/>
      <c r="L25" s="10"/>
      <c r="M25" s="10"/>
      <c r="N25" s="10" t="s">
        <v>70</v>
      </c>
      <c r="O25" s="11">
        <v>915</v>
      </c>
      <c r="P25" s="10" t="s">
        <v>70</v>
      </c>
      <c r="Q25" s="11">
        <v>829.6</v>
      </c>
      <c r="R25" s="10"/>
      <c r="S25" s="10"/>
      <c r="T25" s="10"/>
      <c r="U25" s="10"/>
      <c r="V25" s="10" t="s">
        <v>70</v>
      </c>
      <c r="W25" s="11">
        <v>829.6</v>
      </c>
    </row>
    <row r="26" spans="1:28" ht="15.75" thickBot="1" x14ac:dyDescent="0.3">
      <c r="D26" s="10" t="s">
        <v>137</v>
      </c>
      <c r="E26" s="11">
        <v>219.6</v>
      </c>
      <c r="N26" s="10" t="s">
        <v>138</v>
      </c>
      <c r="O26" s="11">
        <v>36.6</v>
      </c>
    </row>
    <row r="27" spans="1:28" ht="15.75" thickBot="1" x14ac:dyDescent="0.3">
      <c r="B27" s="62" t="s">
        <v>152</v>
      </c>
      <c r="N27" s="10" t="s">
        <v>139</v>
      </c>
      <c r="O27" s="11">
        <v>56.12</v>
      </c>
    </row>
    <row r="28" spans="1:28" x14ac:dyDescent="0.25">
      <c r="N28" s="10" t="s">
        <v>140</v>
      </c>
      <c r="O28" s="11">
        <v>36.6</v>
      </c>
    </row>
    <row r="29" spans="1:28" x14ac:dyDescent="0.25">
      <c r="N29" s="10" t="s">
        <v>141</v>
      </c>
      <c r="O29" s="11">
        <v>36.6</v>
      </c>
    </row>
    <row r="30" spans="1:28" x14ac:dyDescent="0.25">
      <c r="N30" s="10" t="s">
        <v>142</v>
      </c>
      <c r="O30" s="11">
        <v>31</v>
      </c>
    </row>
    <row r="31" spans="1:28" x14ac:dyDescent="0.25">
      <c r="O31" s="11"/>
    </row>
    <row r="32" spans="1:28" x14ac:dyDescent="0.25">
      <c r="G32" s="49"/>
    </row>
  </sheetData>
  <mergeCells count="11">
    <mergeCell ref="Z6:AA6"/>
    <mergeCell ref="X21:AA21"/>
    <mergeCell ref="X5:Y5"/>
    <mergeCell ref="A6:C6"/>
    <mergeCell ref="D6:E6"/>
    <mergeCell ref="F6:G6"/>
    <mergeCell ref="H6:I6"/>
    <mergeCell ref="J6:K6"/>
    <mergeCell ref="N6:O6"/>
    <mergeCell ref="V6:W6"/>
    <mergeCell ref="X6:Y6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2"/>
  <sheetViews>
    <sheetView workbookViewId="0">
      <selection activeCell="G8" sqref="G8"/>
    </sheetView>
  </sheetViews>
  <sheetFormatPr baseColWidth="10" defaultColWidth="11.42578125" defaultRowHeight="15" x14ac:dyDescent="0.25"/>
  <cols>
    <col min="1" max="1" width="42.140625" customWidth="1"/>
    <col min="2" max="2" width="24.140625" customWidth="1"/>
    <col min="3" max="3" width="33.85546875" customWidth="1"/>
    <col min="4" max="4" width="17.140625" customWidth="1"/>
    <col min="5" max="5" width="22.42578125" customWidth="1"/>
    <col min="6" max="6" width="32.7109375" customWidth="1"/>
    <col min="7" max="7" width="22.42578125" customWidth="1"/>
    <col min="8" max="8" width="26.28515625" customWidth="1"/>
    <col min="9" max="10" width="20.28515625" customWidth="1"/>
    <col min="11" max="11" width="24" customWidth="1"/>
    <col min="12" max="12" width="18.28515625" customWidth="1"/>
    <col min="13" max="13" width="43.42578125" customWidth="1"/>
    <col min="14" max="14" width="20" customWidth="1"/>
    <col min="15" max="15" width="29.7109375" customWidth="1"/>
    <col min="16" max="16" width="16.5703125" customWidth="1"/>
    <col min="17" max="17" width="22.28515625" customWidth="1"/>
    <col min="18" max="18" width="15.28515625" customWidth="1"/>
    <col min="19" max="19" width="30.28515625" customWidth="1"/>
    <col min="20" max="20" width="15.5703125" customWidth="1"/>
    <col min="21" max="21" width="19.42578125" customWidth="1"/>
    <col min="22" max="22" width="17.7109375" customWidth="1"/>
    <col min="23" max="23" width="32" customWidth="1"/>
    <col min="24" max="24" width="15.28515625" customWidth="1"/>
    <col min="25" max="25" width="15.85546875" customWidth="1"/>
    <col min="26" max="26" width="16.28515625" customWidth="1"/>
    <col min="27" max="27" width="20.28515625" customWidth="1"/>
    <col min="28" max="28" width="26.28515625" customWidth="1"/>
    <col min="29" max="29" width="18.7109375" customWidth="1"/>
    <col min="30" max="30" width="15.42578125" customWidth="1"/>
    <col min="31" max="31" width="18.85546875" customWidth="1"/>
  </cols>
  <sheetData>
    <row r="1" spans="1:29" x14ac:dyDescent="0.25">
      <c r="A1" s="3" t="s">
        <v>0</v>
      </c>
    </row>
    <row r="2" spans="1:29" ht="15.75" thickBot="1" x14ac:dyDescent="0.3"/>
    <row r="3" spans="1:29" ht="15.75" thickBot="1" x14ac:dyDescent="0.3">
      <c r="A3" s="2" t="s">
        <v>1</v>
      </c>
      <c r="B3" s="4">
        <v>0.1</v>
      </c>
      <c r="C3" s="2" t="s">
        <v>1</v>
      </c>
      <c r="D3" s="32">
        <v>0.4</v>
      </c>
      <c r="E3" s="2" t="s">
        <v>1</v>
      </c>
      <c r="F3" s="29"/>
      <c r="G3" s="29"/>
      <c r="H3" s="4">
        <v>0.25</v>
      </c>
      <c r="I3" s="29" t="s">
        <v>1</v>
      </c>
      <c r="J3" s="4" t="s">
        <v>2</v>
      </c>
      <c r="K3" s="2" t="s">
        <v>1</v>
      </c>
      <c r="L3" s="4">
        <v>1</v>
      </c>
      <c r="M3" s="2" t="s">
        <v>1</v>
      </c>
      <c r="N3" s="4" t="s">
        <v>2</v>
      </c>
      <c r="O3" s="2" t="s">
        <v>1</v>
      </c>
      <c r="P3" s="4">
        <v>0.25</v>
      </c>
      <c r="Q3" s="2" t="s">
        <v>1</v>
      </c>
      <c r="R3" s="8" t="s">
        <v>2</v>
      </c>
      <c r="S3" s="2" t="s">
        <v>1</v>
      </c>
      <c r="T3" s="4">
        <v>1</v>
      </c>
      <c r="U3" s="2" t="s">
        <v>1</v>
      </c>
      <c r="V3" s="8" t="s">
        <v>2</v>
      </c>
      <c r="W3" s="2" t="s">
        <v>1</v>
      </c>
      <c r="X3" s="8" t="s">
        <v>2</v>
      </c>
      <c r="Y3" s="2" t="s">
        <v>1</v>
      </c>
      <c r="Z3" s="8" t="s">
        <v>2</v>
      </c>
      <c r="AA3" s="2" t="s">
        <v>1</v>
      </c>
      <c r="AB3" s="28" t="s">
        <v>2</v>
      </c>
    </row>
    <row r="4" spans="1:29" ht="15.75" thickBot="1" x14ac:dyDescent="0.3">
      <c r="A4" s="1" t="s">
        <v>3</v>
      </c>
      <c r="B4" s="6">
        <v>0.15</v>
      </c>
      <c r="E4" s="38"/>
      <c r="H4" s="39"/>
    </row>
    <row r="5" spans="1:29" ht="15.75" thickBot="1" x14ac:dyDescent="0.3">
      <c r="A5" s="2" t="s">
        <v>4</v>
      </c>
      <c r="B5" s="7" t="s">
        <v>145</v>
      </c>
      <c r="C5" s="2" t="s">
        <v>4</v>
      </c>
      <c r="D5" s="29" t="s">
        <v>6</v>
      </c>
      <c r="E5" s="2" t="s">
        <v>4</v>
      </c>
      <c r="F5" s="29"/>
      <c r="G5" s="29"/>
      <c r="H5" s="7" t="s">
        <v>7</v>
      </c>
      <c r="I5" s="29" t="s">
        <v>4</v>
      </c>
      <c r="J5" s="7" t="s">
        <v>8</v>
      </c>
      <c r="K5" s="2" t="s">
        <v>4</v>
      </c>
      <c r="L5" s="7" t="s">
        <v>8</v>
      </c>
      <c r="M5" s="2" t="s">
        <v>9</v>
      </c>
      <c r="N5" s="7" t="s">
        <v>8</v>
      </c>
      <c r="O5" s="2" t="s">
        <v>4</v>
      </c>
      <c r="P5" s="7" t="s">
        <v>8</v>
      </c>
      <c r="Q5" s="2" t="s">
        <v>11</v>
      </c>
      <c r="R5" s="7" t="s">
        <v>8</v>
      </c>
      <c r="S5" s="2" t="s">
        <v>4</v>
      </c>
      <c r="T5" s="7" t="s">
        <v>8</v>
      </c>
      <c r="U5" s="2" t="s">
        <v>12</v>
      </c>
      <c r="V5" s="7" t="s">
        <v>8</v>
      </c>
      <c r="W5" s="2" t="s">
        <v>13</v>
      </c>
      <c r="X5" s="7" t="s">
        <v>8</v>
      </c>
      <c r="Y5" s="101" t="s">
        <v>14</v>
      </c>
      <c r="Z5" s="102"/>
      <c r="AA5" s="23" t="s">
        <v>4</v>
      </c>
      <c r="AB5" s="24"/>
    </row>
    <row r="6" spans="1:29" x14ac:dyDescent="0.25">
      <c r="A6" s="107" t="s">
        <v>15</v>
      </c>
      <c r="B6" s="107"/>
      <c r="C6" s="105" t="s">
        <v>16</v>
      </c>
      <c r="D6" s="105"/>
      <c r="E6" s="106" t="s">
        <v>17</v>
      </c>
      <c r="F6" s="105"/>
      <c r="G6" s="105"/>
      <c r="H6" s="108"/>
      <c r="I6" s="95" t="s">
        <v>18</v>
      </c>
      <c r="J6" s="95"/>
      <c r="K6" s="105" t="s">
        <v>19</v>
      </c>
      <c r="L6" s="105"/>
      <c r="M6" s="17" t="s">
        <v>20</v>
      </c>
      <c r="N6" s="17"/>
      <c r="O6" s="17" t="s">
        <v>153</v>
      </c>
      <c r="P6" s="17"/>
      <c r="Q6" s="17" t="s">
        <v>22</v>
      </c>
      <c r="R6" s="17"/>
      <c r="S6" s="17" t="s">
        <v>23</v>
      </c>
      <c r="T6" s="17"/>
      <c r="U6" s="17" t="s">
        <v>24</v>
      </c>
      <c r="V6" s="17"/>
      <c r="W6" s="95" t="s">
        <v>25</v>
      </c>
      <c r="X6" s="95"/>
      <c r="Y6" s="95" t="s">
        <v>26</v>
      </c>
      <c r="Z6" s="95"/>
      <c r="AA6" s="95" t="s">
        <v>27</v>
      </c>
      <c r="AB6" s="95"/>
    </row>
    <row r="7" spans="1:29" x14ac:dyDescent="0.25">
      <c r="A7" s="9" t="s">
        <v>28</v>
      </c>
      <c r="B7" s="9" t="s">
        <v>31</v>
      </c>
      <c r="C7" s="9" t="s">
        <v>28</v>
      </c>
      <c r="D7" s="33" t="s">
        <v>30</v>
      </c>
      <c r="E7" s="40" t="s">
        <v>28</v>
      </c>
      <c r="F7" s="9" t="s">
        <v>154</v>
      </c>
      <c r="G7" s="30" t="s">
        <v>146</v>
      </c>
      <c r="H7" s="50" t="s">
        <v>29</v>
      </c>
      <c r="I7" s="36" t="s">
        <v>28</v>
      </c>
      <c r="J7" s="12" t="s">
        <v>30</v>
      </c>
      <c r="K7" s="9" t="s">
        <v>28</v>
      </c>
      <c r="L7" s="9" t="s">
        <v>30</v>
      </c>
      <c r="M7" s="9" t="s">
        <v>28</v>
      </c>
      <c r="N7" s="9" t="s">
        <v>31</v>
      </c>
      <c r="O7" s="9" t="s">
        <v>28</v>
      </c>
      <c r="P7" s="9" t="s">
        <v>31</v>
      </c>
      <c r="Q7" s="9" t="s">
        <v>28</v>
      </c>
      <c r="R7" s="9" t="s">
        <v>31</v>
      </c>
      <c r="S7" s="9" t="s">
        <v>28</v>
      </c>
      <c r="T7" s="9" t="s">
        <v>31</v>
      </c>
      <c r="U7" s="9" t="s">
        <v>28</v>
      </c>
      <c r="V7" s="9" t="s">
        <v>31</v>
      </c>
      <c r="W7" s="9" t="s">
        <v>28</v>
      </c>
      <c r="X7" s="9" t="s">
        <v>31</v>
      </c>
      <c r="Y7" s="9" t="s">
        <v>32</v>
      </c>
      <c r="Z7" s="9" t="s">
        <v>33</v>
      </c>
      <c r="AA7" s="9" t="s">
        <v>32</v>
      </c>
      <c r="AB7" s="9" t="s">
        <v>34</v>
      </c>
      <c r="AC7" s="9" t="s">
        <v>35</v>
      </c>
    </row>
    <row r="8" spans="1:29" x14ac:dyDescent="0.25">
      <c r="A8" s="10" t="s">
        <v>36</v>
      </c>
      <c r="B8" s="13">
        <v>269.51</v>
      </c>
      <c r="C8" s="10" t="s">
        <v>37</v>
      </c>
      <c r="D8" s="34">
        <v>132.97999999999999</v>
      </c>
      <c r="E8" s="41" t="s">
        <v>38</v>
      </c>
      <c r="F8" s="11">
        <v>81</v>
      </c>
      <c r="G8" s="31">
        <f>(H8*100)/F8-100</f>
        <v>23.456790123456784</v>
      </c>
      <c r="H8" s="42">
        <v>100</v>
      </c>
      <c r="I8" s="37" t="s">
        <v>39</v>
      </c>
      <c r="J8" s="13">
        <v>103.7</v>
      </c>
      <c r="K8" s="10" t="s">
        <v>40</v>
      </c>
      <c r="L8" s="11">
        <v>128.1</v>
      </c>
      <c r="M8" s="10" t="s">
        <v>41</v>
      </c>
      <c r="N8" s="11">
        <v>103.7</v>
      </c>
      <c r="O8" s="10" t="s">
        <v>42</v>
      </c>
      <c r="P8" s="11">
        <v>86.62</v>
      </c>
      <c r="Q8" s="10" t="s">
        <v>42</v>
      </c>
      <c r="R8" s="11">
        <v>86.62</v>
      </c>
      <c r="S8" s="10" t="s">
        <v>43</v>
      </c>
      <c r="T8" s="11">
        <v>90</v>
      </c>
      <c r="U8" s="10" t="s">
        <v>43</v>
      </c>
      <c r="V8" s="11">
        <v>97.6</v>
      </c>
      <c r="W8" s="10" t="s">
        <v>42</v>
      </c>
      <c r="X8" s="11">
        <v>86.62</v>
      </c>
      <c r="Y8" s="10" t="s">
        <v>39</v>
      </c>
      <c r="Z8" s="10">
        <v>122</v>
      </c>
      <c r="AA8" s="10" t="s">
        <v>44</v>
      </c>
      <c r="AB8" s="10">
        <v>87.84</v>
      </c>
      <c r="AC8" s="10">
        <v>112.24</v>
      </c>
    </row>
    <row r="9" spans="1:29" x14ac:dyDescent="0.25">
      <c r="A9" s="10" t="s">
        <v>45</v>
      </c>
      <c r="B9" s="13">
        <v>376.8</v>
      </c>
      <c r="C9" s="10" t="s">
        <v>46</v>
      </c>
      <c r="D9" s="34">
        <v>179.34</v>
      </c>
      <c r="E9" s="41" t="s">
        <v>47</v>
      </c>
      <c r="F9" s="11">
        <v>50</v>
      </c>
      <c r="G9" s="31">
        <f t="shared" ref="G9:G15" si="0">(H9*100)/F9-100</f>
        <v>20</v>
      </c>
      <c r="H9" s="42">
        <v>60</v>
      </c>
      <c r="I9" s="37" t="s">
        <v>48</v>
      </c>
      <c r="J9" s="13">
        <v>140.30000000000001</v>
      </c>
      <c r="K9" s="10" t="s">
        <v>49</v>
      </c>
      <c r="L9" s="11">
        <v>103.7</v>
      </c>
      <c r="M9" s="10" t="s">
        <v>50</v>
      </c>
      <c r="N9" s="11">
        <v>146.4</v>
      </c>
      <c r="O9" s="10" t="s">
        <v>51</v>
      </c>
      <c r="P9" s="11">
        <v>129.32</v>
      </c>
      <c r="Q9" s="10" t="s">
        <v>51</v>
      </c>
      <c r="R9" s="11">
        <v>129.32</v>
      </c>
      <c r="S9" s="10" t="s">
        <v>52</v>
      </c>
      <c r="T9" s="11">
        <v>90</v>
      </c>
      <c r="U9" s="10" t="s">
        <v>39</v>
      </c>
      <c r="V9" s="11">
        <v>73.2</v>
      </c>
      <c r="W9" s="10" t="s">
        <v>51</v>
      </c>
      <c r="X9" s="11">
        <v>129.32</v>
      </c>
      <c r="Y9" s="10" t="s">
        <v>48</v>
      </c>
      <c r="Z9" s="10">
        <v>146.4</v>
      </c>
      <c r="AA9" s="10" t="s">
        <v>53</v>
      </c>
      <c r="AB9" s="10">
        <v>106.14</v>
      </c>
      <c r="AC9" s="10">
        <v>130.54</v>
      </c>
    </row>
    <row r="10" spans="1:29" x14ac:dyDescent="0.25">
      <c r="A10" s="10" t="s">
        <v>54</v>
      </c>
      <c r="B10" s="13">
        <v>404.27</v>
      </c>
      <c r="C10" s="10" t="s">
        <v>54</v>
      </c>
      <c r="D10" s="34">
        <v>463.6</v>
      </c>
      <c r="E10" s="41" t="s">
        <v>55</v>
      </c>
      <c r="F10" s="11">
        <v>78</v>
      </c>
      <c r="G10" s="31">
        <f t="shared" si="0"/>
        <v>15.384615384615387</v>
      </c>
      <c r="H10" s="42">
        <v>90</v>
      </c>
      <c r="I10" s="37" t="s">
        <v>56</v>
      </c>
      <c r="J10" s="13">
        <v>280.60000000000002</v>
      </c>
      <c r="K10" s="10" t="s">
        <v>57</v>
      </c>
      <c r="L10" s="11">
        <v>103.7</v>
      </c>
      <c r="M10" s="10" t="s">
        <v>58</v>
      </c>
      <c r="N10" s="11">
        <v>305</v>
      </c>
      <c r="O10" s="10" t="s">
        <v>59</v>
      </c>
      <c r="P10" s="11">
        <v>167.14</v>
      </c>
      <c r="Q10" s="10" t="s">
        <v>59</v>
      </c>
      <c r="R10" s="11">
        <v>167.14</v>
      </c>
      <c r="S10" s="10" t="s">
        <v>60</v>
      </c>
      <c r="T10" s="11">
        <v>100</v>
      </c>
      <c r="U10" s="10" t="s">
        <v>48</v>
      </c>
      <c r="V10" s="11">
        <v>85.4</v>
      </c>
      <c r="W10" s="10" t="s">
        <v>59</v>
      </c>
      <c r="X10" s="11">
        <v>167.14</v>
      </c>
      <c r="Y10" s="10" t="s">
        <v>56</v>
      </c>
      <c r="Z10" s="10">
        <v>427</v>
      </c>
      <c r="AA10" s="10" t="s">
        <v>61</v>
      </c>
      <c r="AB10" s="10">
        <v>231.79999999999998</v>
      </c>
      <c r="AC10" s="10">
        <v>256.2</v>
      </c>
    </row>
    <row r="11" spans="1:29" x14ac:dyDescent="0.25">
      <c r="A11" s="10" t="s">
        <v>62</v>
      </c>
      <c r="B11" s="13">
        <v>1348.88</v>
      </c>
      <c r="C11" s="10" t="s">
        <v>63</v>
      </c>
      <c r="D11" s="34">
        <v>1018.7</v>
      </c>
      <c r="E11" s="41" t="s">
        <v>57</v>
      </c>
      <c r="F11" s="11">
        <v>100</v>
      </c>
      <c r="G11" s="31">
        <f t="shared" si="0"/>
        <v>20</v>
      </c>
      <c r="H11" s="42">
        <v>120</v>
      </c>
      <c r="I11" s="37" t="s">
        <v>64</v>
      </c>
      <c r="J11" s="13">
        <v>225.7</v>
      </c>
      <c r="K11" s="10" t="s">
        <v>65</v>
      </c>
      <c r="L11" s="11">
        <v>115.9</v>
      </c>
      <c r="M11" s="10" t="s">
        <v>66</v>
      </c>
      <c r="N11" s="11">
        <v>829.6</v>
      </c>
      <c r="O11" s="10" t="s">
        <v>67</v>
      </c>
      <c r="P11" s="11">
        <v>86.62</v>
      </c>
      <c r="Q11" s="10" t="s">
        <v>67</v>
      </c>
      <c r="R11" s="11">
        <v>86.62</v>
      </c>
      <c r="S11" s="10" t="s">
        <v>56</v>
      </c>
      <c r="T11" s="11">
        <v>200</v>
      </c>
      <c r="U11" s="10" t="s">
        <v>56</v>
      </c>
      <c r="V11" s="11">
        <v>183</v>
      </c>
      <c r="W11" s="10" t="s">
        <v>67</v>
      </c>
      <c r="X11" s="11">
        <v>86.62</v>
      </c>
      <c r="Y11" s="10" t="s">
        <v>68</v>
      </c>
      <c r="Z11" s="10">
        <v>488</v>
      </c>
      <c r="AA11" s="10" t="s">
        <v>69</v>
      </c>
      <c r="AB11" s="10">
        <v>463.59999999999997</v>
      </c>
      <c r="AC11" s="10">
        <v>488</v>
      </c>
    </row>
    <row r="12" spans="1:29" x14ac:dyDescent="0.25">
      <c r="A12" s="10" t="s">
        <v>70</v>
      </c>
      <c r="B12" s="13">
        <v>1923.24</v>
      </c>
      <c r="C12" s="10" t="s">
        <v>71</v>
      </c>
      <c r="D12" s="34">
        <v>1683.6</v>
      </c>
      <c r="E12" s="41" t="s">
        <v>72</v>
      </c>
      <c r="F12" s="11">
        <v>180</v>
      </c>
      <c r="G12" s="31">
        <f t="shared" si="0"/>
        <v>11.111111111111114</v>
      </c>
      <c r="H12" s="42">
        <v>200</v>
      </c>
      <c r="I12" s="37" t="s">
        <v>73</v>
      </c>
      <c r="J12" s="13">
        <v>622.20000000000005</v>
      </c>
      <c r="K12" s="10" t="s">
        <v>58</v>
      </c>
      <c r="L12" s="11">
        <v>244</v>
      </c>
      <c r="M12" s="10" t="s">
        <v>74</v>
      </c>
      <c r="N12" s="11">
        <v>1018.7</v>
      </c>
      <c r="O12" s="10" t="s">
        <v>75</v>
      </c>
      <c r="P12" s="11">
        <v>114.68</v>
      </c>
      <c r="Q12" s="10" t="s">
        <v>75</v>
      </c>
      <c r="R12" s="11">
        <v>114.68</v>
      </c>
      <c r="S12" s="10" t="s">
        <v>76</v>
      </c>
      <c r="T12" s="11">
        <v>180</v>
      </c>
      <c r="U12" s="10" t="s">
        <v>77</v>
      </c>
      <c r="V12" s="11">
        <v>610</v>
      </c>
      <c r="W12" s="10" t="s">
        <v>75</v>
      </c>
      <c r="X12" s="11">
        <v>114.68</v>
      </c>
      <c r="Y12" s="10" t="s">
        <v>78</v>
      </c>
      <c r="Z12" s="10">
        <v>1098</v>
      </c>
      <c r="AA12" s="10" t="s">
        <v>79</v>
      </c>
      <c r="AB12" s="10">
        <v>829.6</v>
      </c>
      <c r="AC12" s="10">
        <v>854</v>
      </c>
    </row>
    <row r="13" spans="1:29" x14ac:dyDescent="0.25">
      <c r="A13" s="10" t="s">
        <v>80</v>
      </c>
      <c r="B13" s="13">
        <v>172.7</v>
      </c>
      <c r="C13" s="18" t="s">
        <v>81</v>
      </c>
      <c r="D13" s="35">
        <v>4026</v>
      </c>
      <c r="E13" s="41" t="s">
        <v>82</v>
      </c>
      <c r="F13" s="11">
        <v>180</v>
      </c>
      <c r="G13" s="31">
        <f t="shared" si="0"/>
        <v>11.111111111111114</v>
      </c>
      <c r="H13" s="42">
        <v>200</v>
      </c>
      <c r="I13" s="37" t="s">
        <v>83</v>
      </c>
      <c r="J13" s="13">
        <v>969.9</v>
      </c>
      <c r="K13" s="10" t="s">
        <v>84</v>
      </c>
      <c r="L13" s="11">
        <v>134.19999999999999</v>
      </c>
      <c r="M13" s="10" t="s">
        <v>40</v>
      </c>
      <c r="N13" s="11">
        <v>146.4</v>
      </c>
      <c r="O13" s="10" t="s">
        <v>85</v>
      </c>
      <c r="P13" s="11">
        <v>86.62</v>
      </c>
      <c r="Q13" s="10" t="s">
        <v>85</v>
      </c>
      <c r="R13" s="11">
        <v>86.62</v>
      </c>
      <c r="S13" s="10" t="s">
        <v>78</v>
      </c>
      <c r="T13" s="11">
        <v>445</v>
      </c>
      <c r="U13" s="10" t="s">
        <v>78</v>
      </c>
      <c r="V13" s="11">
        <v>366</v>
      </c>
      <c r="W13" s="10" t="s">
        <v>85</v>
      </c>
      <c r="X13" s="11">
        <v>86.62</v>
      </c>
      <c r="Y13" s="10" t="s">
        <v>86</v>
      </c>
      <c r="Z13" s="10">
        <v>1586</v>
      </c>
      <c r="AA13" s="10" t="s">
        <v>87</v>
      </c>
      <c r="AB13" s="10">
        <v>1000.4</v>
      </c>
      <c r="AC13" s="10">
        <v>1024.8</v>
      </c>
    </row>
    <row r="14" spans="1:29" x14ac:dyDescent="0.25">
      <c r="A14" s="10" t="s">
        <v>88</v>
      </c>
      <c r="B14" s="13">
        <v>345.4</v>
      </c>
      <c r="C14" s="10" t="s">
        <v>89</v>
      </c>
      <c r="D14" s="34">
        <v>231.8</v>
      </c>
      <c r="E14" s="41" t="s">
        <v>83</v>
      </c>
      <c r="F14" s="11">
        <v>550</v>
      </c>
      <c r="G14" s="31">
        <f t="shared" si="0"/>
        <v>18.181818181818187</v>
      </c>
      <c r="H14" s="42">
        <v>650</v>
      </c>
      <c r="I14" s="37" t="s">
        <v>40</v>
      </c>
      <c r="J14" s="13">
        <v>176.9</v>
      </c>
      <c r="K14" s="10" t="s">
        <v>70</v>
      </c>
      <c r="L14" s="11">
        <v>976</v>
      </c>
      <c r="M14" s="10" t="s">
        <v>90</v>
      </c>
      <c r="N14" s="11">
        <v>134.19999999999999</v>
      </c>
      <c r="O14" s="10" t="s">
        <v>91</v>
      </c>
      <c r="P14" s="11">
        <v>1493.28</v>
      </c>
      <c r="Q14" s="10" t="s">
        <v>91</v>
      </c>
      <c r="R14" s="11">
        <v>1493.28</v>
      </c>
      <c r="S14" s="10" t="s">
        <v>77</v>
      </c>
      <c r="T14" s="11">
        <v>665</v>
      </c>
      <c r="U14" s="10" t="s">
        <v>40</v>
      </c>
      <c r="V14" s="11">
        <v>97.6</v>
      </c>
      <c r="W14" s="10" t="s">
        <v>91</v>
      </c>
      <c r="X14" s="11">
        <v>1493.28</v>
      </c>
      <c r="Y14" s="10" t="s">
        <v>92</v>
      </c>
      <c r="Z14" s="10">
        <v>128.1</v>
      </c>
      <c r="AA14" s="10" t="s">
        <v>93</v>
      </c>
      <c r="AB14" s="10">
        <v>146.4</v>
      </c>
      <c r="AC14" s="10">
        <v>195.2</v>
      </c>
    </row>
    <row r="15" spans="1:29" x14ac:dyDescent="0.25">
      <c r="A15" s="10" t="s">
        <v>94</v>
      </c>
      <c r="B15" s="13">
        <v>252.5</v>
      </c>
      <c r="C15" s="10" t="s">
        <v>95</v>
      </c>
      <c r="D15" s="34">
        <v>308.66000000000003</v>
      </c>
      <c r="E15" s="41" t="s">
        <v>70</v>
      </c>
      <c r="F15" s="11">
        <v>500</v>
      </c>
      <c r="G15" s="31">
        <f t="shared" si="0"/>
        <v>10</v>
      </c>
      <c r="H15" s="42">
        <v>550</v>
      </c>
      <c r="I15" s="37" t="s">
        <v>96</v>
      </c>
      <c r="J15" s="13">
        <v>683.2</v>
      </c>
      <c r="K15" s="10" t="s">
        <v>97</v>
      </c>
      <c r="L15" s="11">
        <v>634.4</v>
      </c>
      <c r="M15" s="10" t="s">
        <v>98</v>
      </c>
      <c r="N15" s="11">
        <v>134.19999999999999</v>
      </c>
      <c r="O15" s="10" t="s">
        <v>99</v>
      </c>
      <c r="P15" s="11">
        <v>101.26</v>
      </c>
      <c r="Q15" s="10" t="s">
        <v>99</v>
      </c>
      <c r="R15" s="11">
        <v>101.26</v>
      </c>
      <c r="S15" s="10" t="s">
        <v>100</v>
      </c>
      <c r="T15" s="11">
        <v>85</v>
      </c>
      <c r="U15" s="10"/>
      <c r="V15" s="10"/>
      <c r="W15" s="10" t="s">
        <v>99</v>
      </c>
      <c r="X15" s="11">
        <v>101.26</v>
      </c>
      <c r="Y15" s="10" t="s">
        <v>101</v>
      </c>
      <c r="Z15" s="10">
        <v>213.5</v>
      </c>
      <c r="AA15" s="10" t="s">
        <v>102</v>
      </c>
      <c r="AB15" s="10">
        <v>195.2</v>
      </c>
      <c r="AC15" s="10">
        <v>219.6</v>
      </c>
    </row>
    <row r="16" spans="1:29" x14ac:dyDescent="0.25">
      <c r="A16" s="10" t="s">
        <v>103</v>
      </c>
      <c r="B16" s="13">
        <v>334.93</v>
      </c>
      <c r="C16" s="10" t="s">
        <v>104</v>
      </c>
      <c r="D16" s="34">
        <v>231.8</v>
      </c>
      <c r="E16" s="41"/>
      <c r="F16" s="10"/>
      <c r="G16" s="10"/>
      <c r="H16" s="43"/>
      <c r="I16" s="37" t="s">
        <v>43</v>
      </c>
      <c r="J16" s="13">
        <v>122</v>
      </c>
      <c r="K16" s="10" t="s">
        <v>106</v>
      </c>
      <c r="L16" s="11">
        <v>1024.8</v>
      </c>
      <c r="M16" s="10"/>
      <c r="N16" s="10"/>
      <c r="O16" s="10" t="s">
        <v>107</v>
      </c>
      <c r="P16" s="11">
        <v>86.62</v>
      </c>
      <c r="Q16" s="10" t="s">
        <v>107</v>
      </c>
      <c r="R16" s="11">
        <v>86.62</v>
      </c>
      <c r="S16" s="10" t="s">
        <v>108</v>
      </c>
      <c r="T16" s="11">
        <v>125</v>
      </c>
      <c r="U16" s="10"/>
      <c r="V16" s="10"/>
      <c r="W16" s="10" t="s">
        <v>107</v>
      </c>
      <c r="X16" s="11">
        <v>86.62</v>
      </c>
      <c r="Y16" s="10" t="s">
        <v>109</v>
      </c>
      <c r="Z16" s="10">
        <v>1037</v>
      </c>
      <c r="AA16" s="10" t="s">
        <v>110</v>
      </c>
      <c r="AB16" s="10">
        <v>268.39999999999998</v>
      </c>
      <c r="AC16" s="10">
        <v>292.8</v>
      </c>
    </row>
    <row r="17" spans="1:29" ht="15.75" thickBot="1" x14ac:dyDescent="0.3">
      <c r="A17" s="10" t="s">
        <v>147</v>
      </c>
      <c r="B17" s="13">
        <v>426.51</v>
      </c>
      <c r="C17" s="10" t="s">
        <v>111</v>
      </c>
      <c r="D17" s="34">
        <v>113.46</v>
      </c>
      <c r="E17" s="44"/>
      <c r="F17" s="46" t="s">
        <v>143</v>
      </c>
      <c r="G17" s="47">
        <f>AVERAGE(G8:G15)</f>
        <v>16.155680739014073</v>
      </c>
      <c r="H17" s="45"/>
      <c r="I17" s="37"/>
      <c r="J17" s="10"/>
      <c r="K17" s="10" t="s">
        <v>112</v>
      </c>
      <c r="L17" s="11">
        <v>1207.8</v>
      </c>
      <c r="M17" s="10"/>
      <c r="N17" s="10"/>
      <c r="O17" s="10" t="s">
        <v>114</v>
      </c>
      <c r="P17" s="11">
        <v>212.28</v>
      </c>
      <c r="Q17" s="10" t="s">
        <v>114</v>
      </c>
      <c r="R17" s="11">
        <v>212.28</v>
      </c>
      <c r="S17" s="10" t="s">
        <v>115</v>
      </c>
      <c r="T17" s="11">
        <v>100</v>
      </c>
      <c r="U17" s="10"/>
      <c r="V17" s="10"/>
      <c r="W17" s="10" t="s">
        <v>114</v>
      </c>
      <c r="X17" s="11">
        <v>212.28</v>
      </c>
      <c r="Y17" s="10" t="s">
        <v>104</v>
      </c>
      <c r="Z17" s="10">
        <v>152.5</v>
      </c>
      <c r="AA17" s="10" t="s">
        <v>116</v>
      </c>
      <c r="AB17" s="10">
        <v>183</v>
      </c>
      <c r="AC17" s="10">
        <v>207.4</v>
      </c>
    </row>
    <row r="18" spans="1:29" x14ac:dyDescent="0.25">
      <c r="A18" s="10"/>
      <c r="B18" s="10"/>
      <c r="C18" s="10" t="s">
        <v>70</v>
      </c>
      <c r="D18" s="11">
        <v>1244.4000000000001</v>
      </c>
      <c r="I18" s="10"/>
      <c r="J18" s="10"/>
      <c r="K18" s="10" t="s">
        <v>117</v>
      </c>
      <c r="L18" s="11">
        <v>3416</v>
      </c>
      <c r="M18" s="10"/>
      <c r="N18" s="10"/>
      <c r="O18" s="10" t="s">
        <v>119</v>
      </c>
      <c r="P18" s="11">
        <v>668.56</v>
      </c>
      <c r="Q18" s="10" t="s">
        <v>119</v>
      </c>
      <c r="R18" s="11">
        <v>668.56</v>
      </c>
      <c r="S18" s="10" t="s">
        <v>70</v>
      </c>
      <c r="T18" s="11">
        <v>600</v>
      </c>
      <c r="U18" s="10"/>
      <c r="V18" s="10"/>
      <c r="W18" s="10" t="s">
        <v>119</v>
      </c>
      <c r="X18" s="11">
        <v>668.56</v>
      </c>
      <c r="Y18" s="10" t="s">
        <v>120</v>
      </c>
      <c r="Z18" s="10">
        <v>152.5</v>
      </c>
      <c r="AA18" s="10" t="s">
        <v>121</v>
      </c>
      <c r="AB18" s="10">
        <v>244</v>
      </c>
      <c r="AC18" s="10">
        <v>268.39999999999998</v>
      </c>
    </row>
    <row r="19" spans="1:29" x14ac:dyDescent="0.25">
      <c r="A19" s="10" t="s">
        <v>122</v>
      </c>
      <c r="B19" s="10"/>
      <c r="C19" s="10" t="s">
        <v>43</v>
      </c>
      <c r="D19" s="11">
        <v>164.7</v>
      </c>
      <c r="I19" s="10"/>
      <c r="J19" s="9"/>
      <c r="K19" s="10"/>
      <c r="L19" s="10"/>
      <c r="M19" s="10"/>
      <c r="N19" s="10"/>
      <c r="O19" s="10" t="s">
        <v>124</v>
      </c>
      <c r="P19" s="11">
        <v>334.28</v>
      </c>
      <c r="Q19" s="10" t="s">
        <v>124</v>
      </c>
      <c r="R19" s="11">
        <v>334.28</v>
      </c>
      <c r="S19" s="10"/>
      <c r="T19" s="10"/>
      <c r="U19" s="10"/>
      <c r="V19" s="10"/>
      <c r="W19" s="10" t="s">
        <v>124</v>
      </c>
      <c r="X19" s="11">
        <v>334.28</v>
      </c>
      <c r="AA19" s="10" t="s">
        <v>125</v>
      </c>
      <c r="AB19" s="10">
        <v>976</v>
      </c>
      <c r="AC19" s="10">
        <v>1000.4</v>
      </c>
    </row>
    <row r="20" spans="1:29" x14ac:dyDescent="0.25">
      <c r="A20" s="10"/>
      <c r="B20" s="10"/>
      <c r="C20" s="22" t="s">
        <v>126</v>
      </c>
      <c r="D20" s="13">
        <v>2147.1999999999998</v>
      </c>
      <c r="I20" s="10"/>
      <c r="J20" s="10"/>
      <c r="K20" s="10"/>
      <c r="L20" s="10"/>
      <c r="M20" s="10"/>
      <c r="N20" s="10"/>
      <c r="O20" s="10" t="s">
        <v>127</v>
      </c>
      <c r="P20" s="11">
        <v>217.16</v>
      </c>
      <c r="Q20" s="10" t="s">
        <v>127</v>
      </c>
      <c r="R20" s="11">
        <v>217.16</v>
      </c>
      <c r="S20" s="10"/>
      <c r="T20" s="10"/>
      <c r="U20" s="10"/>
      <c r="V20" s="10"/>
      <c r="W20" s="10" t="s">
        <v>127</v>
      </c>
      <c r="X20" s="11">
        <v>217.16</v>
      </c>
      <c r="AA20" s="10" t="s">
        <v>128</v>
      </c>
      <c r="AB20" s="10">
        <v>183</v>
      </c>
      <c r="AC20" s="10">
        <v>207.4</v>
      </c>
    </row>
    <row r="21" spans="1:29" ht="15.75" thickBot="1" x14ac:dyDescent="0.3">
      <c r="B21" s="10"/>
      <c r="C21" s="22" t="s">
        <v>129</v>
      </c>
      <c r="D21" s="13">
        <v>2416</v>
      </c>
      <c r="I21" s="10"/>
      <c r="J21" s="10"/>
      <c r="K21" s="10"/>
      <c r="L21" s="10"/>
      <c r="M21" s="10"/>
      <c r="N21" s="10"/>
      <c r="O21" s="10" t="s">
        <v>130</v>
      </c>
      <c r="P21" s="11">
        <v>1050.42</v>
      </c>
      <c r="Q21" s="10" t="s">
        <v>130</v>
      </c>
      <c r="R21" s="11">
        <v>1050.42</v>
      </c>
      <c r="S21" s="10"/>
      <c r="T21" s="10"/>
      <c r="U21" s="10"/>
      <c r="V21" s="10"/>
      <c r="W21" s="10" t="s">
        <v>130</v>
      </c>
      <c r="X21" s="11">
        <v>1050.42</v>
      </c>
      <c r="Y21" s="96"/>
      <c r="Z21" s="96"/>
      <c r="AA21" s="96"/>
      <c r="AB21" s="96"/>
    </row>
    <row r="22" spans="1:29" ht="18.75" thickBot="1" x14ac:dyDescent="0.4">
      <c r="A22" s="10"/>
      <c r="B22" s="10"/>
      <c r="C22" s="10" t="s">
        <v>131</v>
      </c>
      <c r="D22" s="11">
        <v>58.56</v>
      </c>
      <c r="F22" s="48" t="s">
        <v>155</v>
      </c>
      <c r="I22" s="10"/>
      <c r="J22" s="10"/>
      <c r="K22" s="10"/>
      <c r="L22" s="10"/>
      <c r="M22" s="10"/>
      <c r="N22" s="10"/>
      <c r="O22" s="10" t="s">
        <v>132</v>
      </c>
      <c r="P22" s="11">
        <v>485.56</v>
      </c>
      <c r="Q22" s="10" t="s">
        <v>132</v>
      </c>
      <c r="R22" s="11">
        <v>485.56</v>
      </c>
      <c r="S22" s="10"/>
      <c r="T22" s="10"/>
      <c r="U22" s="10"/>
      <c r="V22" s="10"/>
      <c r="W22" s="10" t="s">
        <v>132</v>
      </c>
      <c r="X22" s="11">
        <v>485.56</v>
      </c>
      <c r="AA22" s="25" t="s">
        <v>149</v>
      </c>
    </row>
    <row r="23" spans="1:29" ht="15.75" x14ac:dyDescent="0.3">
      <c r="A23" s="10"/>
      <c r="B23" s="10"/>
      <c r="C23" s="10" t="s">
        <v>133</v>
      </c>
      <c r="D23" s="11">
        <v>113.46</v>
      </c>
      <c r="I23" s="10"/>
      <c r="J23" s="10"/>
      <c r="K23" s="10"/>
      <c r="L23" s="10"/>
      <c r="M23" s="10"/>
      <c r="N23" s="10"/>
      <c r="O23" s="10" t="s">
        <v>134</v>
      </c>
      <c r="P23" s="11">
        <v>114.68</v>
      </c>
      <c r="Q23" s="10" t="s">
        <v>134</v>
      </c>
      <c r="R23" s="11">
        <v>114.68</v>
      </c>
      <c r="S23" s="10"/>
      <c r="T23" s="10"/>
      <c r="U23" s="10"/>
      <c r="V23" s="10"/>
      <c r="W23" s="10" t="s">
        <v>134</v>
      </c>
      <c r="X23" s="11">
        <v>114.68</v>
      </c>
      <c r="AA23" s="26" t="s">
        <v>150</v>
      </c>
    </row>
    <row r="24" spans="1:29" ht="15.75" x14ac:dyDescent="0.3">
      <c r="A24" s="10"/>
      <c r="B24" s="10"/>
      <c r="C24" s="10" t="s">
        <v>135</v>
      </c>
      <c r="D24" s="11">
        <v>58.56</v>
      </c>
      <c r="I24" s="10"/>
      <c r="J24" s="10"/>
      <c r="K24" s="10"/>
      <c r="L24" s="10"/>
      <c r="M24" s="10"/>
      <c r="N24" s="10"/>
      <c r="O24" s="10" t="s">
        <v>111</v>
      </c>
      <c r="P24" s="11">
        <v>76.86</v>
      </c>
      <c r="Q24" s="10" t="s">
        <v>111</v>
      </c>
      <c r="R24" s="11">
        <v>76.86</v>
      </c>
      <c r="S24" s="10"/>
      <c r="T24" s="10"/>
      <c r="U24" s="10"/>
      <c r="V24" s="10"/>
      <c r="W24" s="10" t="s">
        <v>111</v>
      </c>
      <c r="X24" s="11">
        <v>76.86</v>
      </c>
      <c r="AA24" s="27" t="s">
        <v>151</v>
      </c>
    </row>
    <row r="25" spans="1:29" x14ac:dyDescent="0.25">
      <c r="A25" s="9"/>
      <c r="B25" s="10"/>
      <c r="C25" s="10" t="s">
        <v>136</v>
      </c>
      <c r="D25" s="11">
        <v>84.18</v>
      </c>
      <c r="I25" s="10"/>
      <c r="J25" s="10"/>
      <c r="K25" s="10"/>
      <c r="L25" s="10"/>
      <c r="M25" s="10"/>
      <c r="N25" s="10"/>
      <c r="O25" s="10" t="s">
        <v>70</v>
      </c>
      <c r="P25" s="11">
        <v>829.6</v>
      </c>
      <c r="Q25" s="10" t="s">
        <v>70</v>
      </c>
      <c r="R25" s="11">
        <v>829.6</v>
      </c>
      <c r="S25" s="10"/>
      <c r="T25" s="10"/>
      <c r="U25" s="10"/>
      <c r="V25" s="10"/>
      <c r="W25" s="10" t="s">
        <v>70</v>
      </c>
      <c r="X25" s="11">
        <v>829.6</v>
      </c>
    </row>
    <row r="26" spans="1:29" x14ac:dyDescent="0.25">
      <c r="C26" s="10" t="s">
        <v>137</v>
      </c>
      <c r="D26" s="11">
        <v>219.6</v>
      </c>
      <c r="O26" s="10" t="s">
        <v>138</v>
      </c>
      <c r="P26" s="11">
        <v>37</v>
      </c>
    </row>
    <row r="27" spans="1:29" x14ac:dyDescent="0.25">
      <c r="O27" s="10" t="s">
        <v>139</v>
      </c>
      <c r="P27" s="11">
        <v>39</v>
      </c>
    </row>
    <row r="28" spans="1:29" x14ac:dyDescent="0.25">
      <c r="O28" s="10" t="s">
        <v>140</v>
      </c>
      <c r="P28" s="11">
        <v>28</v>
      </c>
    </row>
    <row r="29" spans="1:29" x14ac:dyDescent="0.25">
      <c r="O29" s="10" t="s">
        <v>141</v>
      </c>
      <c r="P29" s="11">
        <v>37</v>
      </c>
    </row>
    <row r="30" spans="1:29" x14ac:dyDescent="0.25">
      <c r="O30" s="10" t="s">
        <v>142</v>
      </c>
      <c r="P30" s="11">
        <v>31</v>
      </c>
    </row>
    <row r="32" spans="1:29" x14ac:dyDescent="0.25">
      <c r="F32" s="49"/>
    </row>
  </sheetData>
  <mergeCells count="10">
    <mergeCell ref="AA6:AB6"/>
    <mergeCell ref="Y21:AB21"/>
    <mergeCell ref="Y5:Z5"/>
    <mergeCell ref="A6:B6"/>
    <mergeCell ref="C6:D6"/>
    <mergeCell ref="E6:H6"/>
    <mergeCell ref="I6:J6"/>
    <mergeCell ref="K6:L6"/>
    <mergeCell ref="W6:X6"/>
    <mergeCell ref="Y6:Z6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0"/>
  <sheetViews>
    <sheetView topLeftCell="A7" workbookViewId="0">
      <selection activeCell="B38" sqref="B38"/>
    </sheetView>
  </sheetViews>
  <sheetFormatPr baseColWidth="10" defaultColWidth="11.42578125" defaultRowHeight="15" x14ac:dyDescent="0.25"/>
  <cols>
    <col min="1" max="1" width="42.140625" customWidth="1"/>
    <col min="2" max="2" width="24.140625" customWidth="1"/>
    <col min="3" max="3" width="33.85546875" customWidth="1"/>
    <col min="4" max="4" width="17.140625" customWidth="1"/>
    <col min="5" max="5" width="22.42578125" customWidth="1"/>
    <col min="6" max="6" width="17" customWidth="1"/>
    <col min="7" max="8" width="20.28515625" customWidth="1"/>
    <col min="9" max="9" width="24" customWidth="1"/>
    <col min="10" max="10" width="18.28515625" customWidth="1"/>
    <col min="11" max="11" width="43.42578125" customWidth="1"/>
    <col min="12" max="12" width="20" customWidth="1"/>
    <col min="13" max="13" width="29.7109375" customWidth="1"/>
    <col min="14" max="14" width="16.5703125" customWidth="1"/>
    <col min="15" max="15" width="22.28515625" customWidth="1"/>
    <col min="16" max="16" width="15.28515625" customWidth="1"/>
    <col min="17" max="17" width="30.28515625" customWidth="1"/>
    <col min="18" max="18" width="15.5703125" customWidth="1"/>
    <col min="19" max="19" width="19.42578125" customWidth="1"/>
    <col min="20" max="20" width="17.7109375" customWidth="1"/>
    <col min="21" max="21" width="32" customWidth="1"/>
    <col min="22" max="22" width="15.28515625" customWidth="1"/>
    <col min="23" max="23" width="15.85546875" customWidth="1"/>
    <col min="24" max="24" width="16.28515625" customWidth="1"/>
    <col min="25" max="25" width="20.28515625" customWidth="1"/>
    <col min="26" max="26" width="26.28515625" customWidth="1"/>
    <col min="27" max="27" width="18.7109375" customWidth="1"/>
    <col min="28" max="28" width="15.42578125" customWidth="1"/>
    <col min="29" max="29" width="18.85546875" customWidth="1"/>
  </cols>
  <sheetData>
    <row r="1" spans="1:27" x14ac:dyDescent="0.25">
      <c r="A1" s="3" t="s">
        <v>0</v>
      </c>
    </row>
    <row r="2" spans="1:27" ht="15.75" thickBot="1" x14ac:dyDescent="0.3"/>
    <row r="3" spans="1:27" ht="15.75" thickBot="1" x14ac:dyDescent="0.3">
      <c r="A3" s="2" t="s">
        <v>1</v>
      </c>
      <c r="B3" s="4">
        <v>0.1</v>
      </c>
      <c r="C3" s="2" t="s">
        <v>1</v>
      </c>
      <c r="D3" s="4">
        <v>0.4</v>
      </c>
      <c r="E3" s="2" t="s">
        <v>1</v>
      </c>
      <c r="F3" s="4">
        <v>0.25</v>
      </c>
      <c r="G3" s="2" t="s">
        <v>1</v>
      </c>
      <c r="H3" s="4" t="s">
        <v>2</v>
      </c>
      <c r="I3" s="2" t="s">
        <v>1</v>
      </c>
      <c r="J3" s="4">
        <v>1</v>
      </c>
      <c r="K3" s="2" t="s">
        <v>1</v>
      </c>
      <c r="L3" s="4" t="s">
        <v>2</v>
      </c>
      <c r="M3" s="2" t="s">
        <v>1</v>
      </c>
      <c r="N3" s="4">
        <v>0.25</v>
      </c>
      <c r="O3" s="2" t="s">
        <v>1</v>
      </c>
      <c r="P3" s="8" t="s">
        <v>2</v>
      </c>
      <c r="Q3" s="2" t="s">
        <v>1</v>
      </c>
      <c r="R3" s="4">
        <v>1</v>
      </c>
      <c r="S3" s="2" t="s">
        <v>1</v>
      </c>
      <c r="T3" s="8" t="s">
        <v>2</v>
      </c>
      <c r="U3" s="2" t="s">
        <v>1</v>
      </c>
      <c r="V3" s="8" t="s">
        <v>2</v>
      </c>
      <c r="W3" s="2" t="s">
        <v>1</v>
      </c>
      <c r="X3" s="8" t="s">
        <v>2</v>
      </c>
      <c r="Y3" s="2" t="s">
        <v>1</v>
      </c>
      <c r="Z3" s="28" t="s">
        <v>2</v>
      </c>
    </row>
    <row r="4" spans="1:27" ht="15.75" thickBot="1" x14ac:dyDescent="0.3">
      <c r="A4" s="1" t="s">
        <v>3</v>
      </c>
      <c r="B4" s="6">
        <v>0.15</v>
      </c>
    </row>
    <row r="5" spans="1:27" ht="15.75" thickBot="1" x14ac:dyDescent="0.3">
      <c r="A5" s="2" t="s">
        <v>4</v>
      </c>
      <c r="B5" s="7" t="s">
        <v>145</v>
      </c>
      <c r="C5" s="2" t="s">
        <v>4</v>
      </c>
      <c r="D5" s="7" t="s">
        <v>6</v>
      </c>
      <c r="E5" s="2" t="s">
        <v>4</v>
      </c>
      <c r="F5" s="7" t="s">
        <v>8</v>
      </c>
      <c r="G5" s="2" t="s">
        <v>4</v>
      </c>
      <c r="H5" s="7" t="s">
        <v>8</v>
      </c>
      <c r="I5" s="2" t="s">
        <v>4</v>
      </c>
      <c r="J5" s="7" t="s">
        <v>8</v>
      </c>
      <c r="K5" s="2" t="s">
        <v>9</v>
      </c>
      <c r="L5" s="7" t="s">
        <v>8</v>
      </c>
      <c r="M5" s="2" t="s">
        <v>4</v>
      </c>
      <c r="N5" s="7" t="s">
        <v>8</v>
      </c>
      <c r="O5" s="2" t="s">
        <v>11</v>
      </c>
      <c r="P5" s="7" t="s">
        <v>8</v>
      </c>
      <c r="Q5" s="2" t="s">
        <v>4</v>
      </c>
      <c r="R5" s="7" t="s">
        <v>8</v>
      </c>
      <c r="S5" s="2" t="s">
        <v>12</v>
      </c>
      <c r="T5" s="7" t="s">
        <v>8</v>
      </c>
      <c r="U5" s="2" t="s">
        <v>13</v>
      </c>
      <c r="V5" s="7" t="s">
        <v>8</v>
      </c>
      <c r="W5" s="101" t="s">
        <v>14</v>
      </c>
      <c r="X5" s="102"/>
      <c r="Y5" s="23" t="s">
        <v>4</v>
      </c>
      <c r="Z5" s="24"/>
    </row>
    <row r="6" spans="1:27" x14ac:dyDescent="0.25">
      <c r="A6" s="107" t="s">
        <v>15</v>
      </c>
      <c r="B6" s="107"/>
      <c r="C6" s="105" t="s">
        <v>16</v>
      </c>
      <c r="D6" s="105"/>
      <c r="E6" s="105" t="s">
        <v>17</v>
      </c>
      <c r="F6" s="105"/>
      <c r="G6" s="95" t="s">
        <v>18</v>
      </c>
      <c r="H6" s="95"/>
      <c r="I6" s="105" t="s">
        <v>19</v>
      </c>
      <c r="J6" s="105"/>
      <c r="K6" s="17" t="s">
        <v>20</v>
      </c>
      <c r="L6" s="17"/>
      <c r="M6" s="17" t="s">
        <v>153</v>
      </c>
      <c r="N6" s="17"/>
      <c r="O6" s="17" t="s">
        <v>22</v>
      </c>
      <c r="P6" s="17"/>
      <c r="Q6" s="17" t="s">
        <v>23</v>
      </c>
      <c r="R6" s="17"/>
      <c r="S6" s="17" t="s">
        <v>24</v>
      </c>
      <c r="T6" s="17"/>
      <c r="U6" s="95" t="s">
        <v>25</v>
      </c>
      <c r="V6" s="95"/>
      <c r="W6" s="95" t="s">
        <v>26</v>
      </c>
      <c r="X6" s="95"/>
      <c r="Y6" s="95" t="s">
        <v>27</v>
      </c>
      <c r="Z6" s="95"/>
    </row>
    <row r="7" spans="1:27" x14ac:dyDescent="0.25">
      <c r="A7" s="9" t="s">
        <v>28</v>
      </c>
      <c r="B7" s="9" t="s">
        <v>31</v>
      </c>
      <c r="C7" s="9" t="s">
        <v>28</v>
      </c>
      <c r="D7" s="9" t="s">
        <v>30</v>
      </c>
      <c r="E7" s="9" t="s">
        <v>28</v>
      </c>
      <c r="F7" s="9" t="s">
        <v>30</v>
      </c>
      <c r="G7" s="9" t="s">
        <v>28</v>
      </c>
      <c r="H7" s="12" t="s">
        <v>30</v>
      </c>
      <c r="I7" s="9" t="s">
        <v>28</v>
      </c>
      <c r="J7" s="9" t="s">
        <v>30</v>
      </c>
      <c r="K7" s="9" t="s">
        <v>28</v>
      </c>
      <c r="L7" s="9" t="s">
        <v>31</v>
      </c>
      <c r="M7" s="9" t="s">
        <v>28</v>
      </c>
      <c r="N7" s="9" t="s">
        <v>31</v>
      </c>
      <c r="O7" s="9" t="s">
        <v>28</v>
      </c>
      <c r="P7" s="9" t="s">
        <v>31</v>
      </c>
      <c r="Q7" s="9" t="s">
        <v>28</v>
      </c>
      <c r="R7" s="9" t="s">
        <v>31</v>
      </c>
      <c r="S7" s="9" t="s">
        <v>28</v>
      </c>
      <c r="T7" s="9" t="s">
        <v>31</v>
      </c>
      <c r="U7" s="9" t="s">
        <v>28</v>
      </c>
      <c r="V7" s="9" t="s">
        <v>31</v>
      </c>
      <c r="W7" s="9" t="s">
        <v>32</v>
      </c>
      <c r="X7" s="9" t="s">
        <v>33</v>
      </c>
      <c r="Y7" s="9" t="s">
        <v>32</v>
      </c>
      <c r="Z7" s="9" t="s">
        <v>34</v>
      </c>
      <c r="AA7" s="9" t="s">
        <v>35</v>
      </c>
    </row>
    <row r="8" spans="1:27" x14ac:dyDescent="0.25">
      <c r="A8" s="10" t="s">
        <v>36</v>
      </c>
      <c r="B8" s="13">
        <v>269.51</v>
      </c>
      <c r="C8" s="10" t="s">
        <v>37</v>
      </c>
      <c r="D8" s="11">
        <v>132.97999999999999</v>
      </c>
      <c r="E8" s="10" t="s">
        <v>38</v>
      </c>
      <c r="F8" s="11">
        <v>81</v>
      </c>
      <c r="G8" s="10" t="s">
        <v>39</v>
      </c>
      <c r="H8" s="13">
        <v>103.7</v>
      </c>
      <c r="I8" s="10" t="s">
        <v>40</v>
      </c>
      <c r="J8" s="11">
        <v>128.1</v>
      </c>
      <c r="K8" s="10" t="s">
        <v>41</v>
      </c>
      <c r="L8" s="11">
        <v>103.7</v>
      </c>
      <c r="M8" s="10" t="s">
        <v>42</v>
      </c>
      <c r="N8" s="11">
        <v>86.62</v>
      </c>
      <c r="O8" s="10" t="s">
        <v>42</v>
      </c>
      <c r="P8" s="11">
        <v>86.62</v>
      </c>
      <c r="Q8" s="10" t="s">
        <v>43</v>
      </c>
      <c r="R8" s="11">
        <v>90</v>
      </c>
      <c r="S8" s="10" t="s">
        <v>43</v>
      </c>
      <c r="T8" s="11">
        <v>97.6</v>
      </c>
      <c r="U8" s="10" t="s">
        <v>42</v>
      </c>
      <c r="V8" s="11">
        <v>86.62</v>
      </c>
      <c r="W8" s="10" t="s">
        <v>39</v>
      </c>
      <c r="X8" s="10">
        <v>122</v>
      </c>
      <c r="Y8" s="10" t="s">
        <v>44</v>
      </c>
      <c r="Z8" s="10">
        <v>87.84</v>
      </c>
      <c r="AA8" s="10">
        <v>112.24</v>
      </c>
    </row>
    <row r="9" spans="1:27" x14ac:dyDescent="0.25">
      <c r="A9" s="10" t="s">
        <v>45</v>
      </c>
      <c r="B9" s="13">
        <v>376.8</v>
      </c>
      <c r="C9" s="10" t="s">
        <v>46</v>
      </c>
      <c r="D9" s="11">
        <v>179.34</v>
      </c>
      <c r="E9" s="10" t="s">
        <v>47</v>
      </c>
      <c r="F9" s="11">
        <v>50</v>
      </c>
      <c r="G9" s="10" t="s">
        <v>48</v>
      </c>
      <c r="H9" s="13">
        <v>140.30000000000001</v>
      </c>
      <c r="I9" s="10" t="s">
        <v>49</v>
      </c>
      <c r="J9" s="11">
        <v>103.7</v>
      </c>
      <c r="K9" s="10" t="s">
        <v>50</v>
      </c>
      <c r="L9" s="11">
        <v>146.4</v>
      </c>
      <c r="M9" s="10" t="s">
        <v>51</v>
      </c>
      <c r="N9" s="11">
        <v>129.32</v>
      </c>
      <c r="O9" s="10" t="s">
        <v>51</v>
      </c>
      <c r="P9" s="11">
        <v>129.32</v>
      </c>
      <c r="Q9" s="10" t="s">
        <v>52</v>
      </c>
      <c r="R9" s="11">
        <v>90</v>
      </c>
      <c r="S9" s="10" t="s">
        <v>39</v>
      </c>
      <c r="T9" s="11">
        <v>73.2</v>
      </c>
      <c r="U9" s="10" t="s">
        <v>51</v>
      </c>
      <c r="V9" s="11">
        <v>129.32</v>
      </c>
      <c r="W9" s="10" t="s">
        <v>48</v>
      </c>
      <c r="X9" s="10">
        <v>146.4</v>
      </c>
      <c r="Y9" s="10" t="s">
        <v>53</v>
      </c>
      <c r="Z9" s="10">
        <v>106.14</v>
      </c>
      <c r="AA9" s="10">
        <v>130.54</v>
      </c>
    </row>
    <row r="10" spans="1:27" x14ac:dyDescent="0.25">
      <c r="A10" s="10" t="s">
        <v>54</v>
      </c>
      <c r="B10" s="13">
        <v>404.27</v>
      </c>
      <c r="C10" s="10" t="s">
        <v>54</v>
      </c>
      <c r="D10" s="11">
        <v>463.6</v>
      </c>
      <c r="E10" s="10" t="s">
        <v>55</v>
      </c>
      <c r="F10" s="11">
        <v>78</v>
      </c>
      <c r="G10" s="10" t="s">
        <v>56</v>
      </c>
      <c r="H10" s="13">
        <v>280.60000000000002</v>
      </c>
      <c r="I10" s="10" t="s">
        <v>57</v>
      </c>
      <c r="J10" s="11">
        <v>103.7</v>
      </c>
      <c r="K10" s="10" t="s">
        <v>58</v>
      </c>
      <c r="L10" s="11">
        <v>305</v>
      </c>
      <c r="M10" s="10" t="s">
        <v>59</v>
      </c>
      <c r="N10" s="11">
        <v>167.14</v>
      </c>
      <c r="O10" s="10" t="s">
        <v>59</v>
      </c>
      <c r="P10" s="11">
        <v>167.14</v>
      </c>
      <c r="Q10" s="10" t="s">
        <v>60</v>
      </c>
      <c r="R10" s="11">
        <v>100</v>
      </c>
      <c r="S10" s="10" t="s">
        <v>48</v>
      </c>
      <c r="T10" s="11">
        <v>85.4</v>
      </c>
      <c r="U10" s="10" t="s">
        <v>59</v>
      </c>
      <c r="V10" s="11">
        <v>167.14</v>
      </c>
      <c r="W10" s="10" t="s">
        <v>56</v>
      </c>
      <c r="X10" s="10">
        <v>427</v>
      </c>
      <c r="Y10" s="10" t="s">
        <v>61</v>
      </c>
      <c r="Z10" s="10">
        <v>231.79999999999998</v>
      </c>
      <c r="AA10" s="10">
        <v>256.2</v>
      </c>
    </row>
    <row r="11" spans="1:27" x14ac:dyDescent="0.25">
      <c r="A11" s="10" t="s">
        <v>62</v>
      </c>
      <c r="B11" s="13">
        <v>1348.88</v>
      </c>
      <c r="C11" s="10" t="s">
        <v>63</v>
      </c>
      <c r="D11" s="11">
        <v>1018.7</v>
      </c>
      <c r="E11" s="10" t="s">
        <v>57</v>
      </c>
      <c r="F11" s="11">
        <v>100</v>
      </c>
      <c r="G11" s="10" t="s">
        <v>64</v>
      </c>
      <c r="H11" s="13">
        <v>225.7</v>
      </c>
      <c r="I11" s="10" t="s">
        <v>65</v>
      </c>
      <c r="J11" s="11">
        <v>115.9</v>
      </c>
      <c r="K11" s="10" t="s">
        <v>66</v>
      </c>
      <c r="L11" s="11">
        <v>829.6</v>
      </c>
      <c r="M11" s="10" t="s">
        <v>67</v>
      </c>
      <c r="N11" s="11">
        <v>86.62</v>
      </c>
      <c r="O11" s="10" t="s">
        <v>67</v>
      </c>
      <c r="P11" s="11">
        <v>86.62</v>
      </c>
      <c r="Q11" s="10" t="s">
        <v>56</v>
      </c>
      <c r="R11" s="11">
        <v>200</v>
      </c>
      <c r="S11" s="10" t="s">
        <v>56</v>
      </c>
      <c r="T11" s="11">
        <v>183</v>
      </c>
      <c r="U11" s="10" t="s">
        <v>67</v>
      </c>
      <c r="V11" s="11">
        <v>86.62</v>
      </c>
      <c r="W11" s="10" t="s">
        <v>68</v>
      </c>
      <c r="X11" s="10">
        <v>488</v>
      </c>
      <c r="Y11" s="10" t="s">
        <v>69</v>
      </c>
      <c r="Z11" s="10">
        <v>463.59999999999997</v>
      </c>
      <c r="AA11" s="10">
        <v>488</v>
      </c>
    </row>
    <row r="12" spans="1:27" x14ac:dyDescent="0.25">
      <c r="A12" s="10" t="s">
        <v>70</v>
      </c>
      <c r="B12" s="13">
        <v>1923.24</v>
      </c>
      <c r="C12" s="10" t="s">
        <v>71</v>
      </c>
      <c r="D12" s="11">
        <v>1683.6</v>
      </c>
      <c r="E12" s="10" t="s">
        <v>72</v>
      </c>
      <c r="F12" s="11">
        <v>180</v>
      </c>
      <c r="G12" s="10" t="s">
        <v>73</v>
      </c>
      <c r="H12" s="13">
        <v>622.20000000000005</v>
      </c>
      <c r="I12" s="10" t="s">
        <v>58</v>
      </c>
      <c r="J12" s="11">
        <v>244</v>
      </c>
      <c r="K12" s="10" t="s">
        <v>74</v>
      </c>
      <c r="L12" s="11">
        <v>1018.7</v>
      </c>
      <c r="M12" s="10" t="s">
        <v>75</v>
      </c>
      <c r="N12" s="11">
        <v>114.68</v>
      </c>
      <c r="O12" s="10" t="s">
        <v>75</v>
      </c>
      <c r="P12" s="11">
        <v>114.68</v>
      </c>
      <c r="Q12" s="10" t="s">
        <v>76</v>
      </c>
      <c r="R12" s="11">
        <v>180</v>
      </c>
      <c r="S12" s="10" t="s">
        <v>77</v>
      </c>
      <c r="T12" s="11">
        <v>610</v>
      </c>
      <c r="U12" s="10" t="s">
        <v>75</v>
      </c>
      <c r="V12" s="11">
        <v>114.68</v>
      </c>
      <c r="W12" s="10" t="s">
        <v>78</v>
      </c>
      <c r="X12" s="10">
        <v>1098</v>
      </c>
      <c r="Y12" s="10" t="s">
        <v>79</v>
      </c>
      <c r="Z12" s="10">
        <v>829.6</v>
      </c>
      <c r="AA12" s="10">
        <v>854</v>
      </c>
    </row>
    <row r="13" spans="1:27" x14ac:dyDescent="0.25">
      <c r="A13" s="10" t="s">
        <v>80</v>
      </c>
      <c r="B13" s="13">
        <v>172.7</v>
      </c>
      <c r="C13" s="18" t="s">
        <v>81</v>
      </c>
      <c r="D13" s="19">
        <v>4026</v>
      </c>
      <c r="E13" s="10" t="s">
        <v>82</v>
      </c>
      <c r="F13" s="11">
        <v>180</v>
      </c>
      <c r="G13" s="10" t="s">
        <v>83</v>
      </c>
      <c r="H13" s="13">
        <v>969.9</v>
      </c>
      <c r="I13" s="10" t="s">
        <v>84</v>
      </c>
      <c r="J13" s="11">
        <v>134.19999999999999</v>
      </c>
      <c r="K13" s="10" t="s">
        <v>40</v>
      </c>
      <c r="L13" s="11">
        <v>146.4</v>
      </c>
      <c r="M13" s="10" t="s">
        <v>85</v>
      </c>
      <c r="N13" s="11">
        <v>86.62</v>
      </c>
      <c r="O13" s="10" t="s">
        <v>85</v>
      </c>
      <c r="P13" s="11">
        <v>86.62</v>
      </c>
      <c r="Q13" s="10" t="s">
        <v>78</v>
      </c>
      <c r="R13" s="11">
        <v>445</v>
      </c>
      <c r="S13" s="10" t="s">
        <v>78</v>
      </c>
      <c r="T13" s="11">
        <v>366</v>
      </c>
      <c r="U13" s="10" t="s">
        <v>85</v>
      </c>
      <c r="V13" s="11">
        <v>86.62</v>
      </c>
      <c r="W13" s="10" t="s">
        <v>86</v>
      </c>
      <c r="X13" s="10">
        <v>1586</v>
      </c>
      <c r="Y13" s="10" t="s">
        <v>87</v>
      </c>
      <c r="Z13" s="10">
        <v>1000.4</v>
      </c>
      <c r="AA13" s="10">
        <v>1024.8</v>
      </c>
    </row>
    <row r="14" spans="1:27" x14ac:dyDescent="0.25">
      <c r="A14" s="10" t="s">
        <v>88</v>
      </c>
      <c r="B14" s="13">
        <v>345.4</v>
      </c>
      <c r="C14" s="10" t="s">
        <v>89</v>
      </c>
      <c r="D14" s="11">
        <v>231.8</v>
      </c>
      <c r="E14" s="10" t="s">
        <v>83</v>
      </c>
      <c r="F14" s="11">
        <v>550</v>
      </c>
      <c r="G14" s="10" t="s">
        <v>40</v>
      </c>
      <c r="H14" s="13">
        <v>176.9</v>
      </c>
      <c r="I14" s="10" t="s">
        <v>70</v>
      </c>
      <c r="J14" s="11">
        <v>976</v>
      </c>
      <c r="K14" s="10" t="s">
        <v>90</v>
      </c>
      <c r="L14" s="11">
        <v>134.19999999999999</v>
      </c>
      <c r="M14" s="10" t="s">
        <v>91</v>
      </c>
      <c r="N14" s="11">
        <v>1493.28</v>
      </c>
      <c r="O14" s="10" t="s">
        <v>91</v>
      </c>
      <c r="P14" s="11">
        <v>1493.28</v>
      </c>
      <c r="Q14" s="10" t="s">
        <v>77</v>
      </c>
      <c r="R14" s="11">
        <v>665</v>
      </c>
      <c r="S14" s="10" t="s">
        <v>40</v>
      </c>
      <c r="T14" s="11">
        <v>97.6</v>
      </c>
      <c r="U14" s="10" t="s">
        <v>91</v>
      </c>
      <c r="V14" s="11">
        <v>1493.28</v>
      </c>
      <c r="W14" s="10" t="s">
        <v>92</v>
      </c>
      <c r="X14" s="10">
        <v>128.1</v>
      </c>
      <c r="Y14" s="10" t="s">
        <v>93</v>
      </c>
      <c r="Z14" s="10">
        <v>146.4</v>
      </c>
      <c r="AA14" s="10">
        <v>195.2</v>
      </c>
    </row>
    <row r="15" spans="1:27" x14ac:dyDescent="0.25">
      <c r="A15" s="10" t="s">
        <v>94</v>
      </c>
      <c r="B15" s="13">
        <v>252.5</v>
      </c>
      <c r="C15" s="10" t="s">
        <v>95</v>
      </c>
      <c r="D15" s="11">
        <v>308.66000000000003</v>
      </c>
      <c r="E15" s="10" t="s">
        <v>70</v>
      </c>
      <c r="F15" s="11">
        <v>500</v>
      </c>
      <c r="G15" s="10" t="s">
        <v>96</v>
      </c>
      <c r="H15" s="13">
        <v>683.2</v>
      </c>
      <c r="I15" s="10" t="s">
        <v>97</v>
      </c>
      <c r="J15" s="11">
        <v>634.4</v>
      </c>
      <c r="K15" s="10" t="s">
        <v>98</v>
      </c>
      <c r="L15" s="11">
        <v>134.19999999999999</v>
      </c>
      <c r="M15" s="10" t="s">
        <v>99</v>
      </c>
      <c r="N15" s="11">
        <v>101.26</v>
      </c>
      <c r="O15" s="10" t="s">
        <v>99</v>
      </c>
      <c r="P15" s="11">
        <v>101.26</v>
      </c>
      <c r="Q15" s="10" t="s">
        <v>100</v>
      </c>
      <c r="R15" s="11">
        <v>85</v>
      </c>
      <c r="S15" s="10"/>
      <c r="T15" s="10"/>
      <c r="U15" s="10" t="s">
        <v>99</v>
      </c>
      <c r="V15" s="11">
        <v>101.26</v>
      </c>
      <c r="W15" s="10" t="s">
        <v>101</v>
      </c>
      <c r="X15" s="10">
        <v>213.5</v>
      </c>
      <c r="Y15" s="10" t="s">
        <v>102</v>
      </c>
      <c r="Z15" s="10">
        <v>195.2</v>
      </c>
      <c r="AA15" s="10">
        <v>219.6</v>
      </c>
    </row>
    <row r="16" spans="1:27" x14ac:dyDescent="0.25">
      <c r="A16" s="10" t="s">
        <v>103</v>
      </c>
      <c r="B16" s="13">
        <v>334.93</v>
      </c>
      <c r="C16" s="10" t="s">
        <v>104</v>
      </c>
      <c r="D16" s="11">
        <v>231.8</v>
      </c>
      <c r="E16" s="10"/>
      <c r="F16" s="10"/>
      <c r="G16" s="10" t="s">
        <v>43</v>
      </c>
      <c r="H16" s="13">
        <v>122</v>
      </c>
      <c r="I16" s="10" t="s">
        <v>106</v>
      </c>
      <c r="J16" s="11">
        <v>1024.8</v>
      </c>
      <c r="K16" s="10"/>
      <c r="L16" s="10"/>
      <c r="M16" s="10" t="s">
        <v>107</v>
      </c>
      <c r="N16" s="11">
        <v>86.62</v>
      </c>
      <c r="O16" s="10" t="s">
        <v>107</v>
      </c>
      <c r="P16" s="11">
        <v>86.62</v>
      </c>
      <c r="Q16" s="10" t="s">
        <v>108</v>
      </c>
      <c r="R16" s="11">
        <v>125</v>
      </c>
      <c r="S16" s="10"/>
      <c r="T16" s="10"/>
      <c r="U16" s="10" t="s">
        <v>107</v>
      </c>
      <c r="V16" s="11">
        <v>86.62</v>
      </c>
      <c r="W16" s="10" t="s">
        <v>109</v>
      </c>
      <c r="X16" s="10">
        <v>1037</v>
      </c>
      <c r="Y16" s="10" t="s">
        <v>110</v>
      </c>
      <c r="Z16" s="10">
        <v>268.39999999999998</v>
      </c>
      <c r="AA16" s="10">
        <v>292.8</v>
      </c>
    </row>
    <row r="17" spans="1:27" x14ac:dyDescent="0.25">
      <c r="A17" s="10" t="s">
        <v>147</v>
      </c>
      <c r="B17" s="13">
        <v>426.51</v>
      </c>
      <c r="C17" s="10" t="s">
        <v>111</v>
      </c>
      <c r="D17" s="11">
        <v>113.46</v>
      </c>
      <c r="E17" s="10"/>
      <c r="F17" s="10"/>
      <c r="G17" s="10"/>
      <c r="H17" s="10"/>
      <c r="I17" s="10" t="s">
        <v>112</v>
      </c>
      <c r="J17" s="11">
        <v>1207.8</v>
      </c>
      <c r="K17" s="10"/>
      <c r="L17" s="10"/>
      <c r="M17" s="10" t="s">
        <v>114</v>
      </c>
      <c r="N17" s="11">
        <v>212.28</v>
      </c>
      <c r="O17" s="10" t="s">
        <v>114</v>
      </c>
      <c r="P17" s="11">
        <v>212.28</v>
      </c>
      <c r="Q17" s="10" t="s">
        <v>115</v>
      </c>
      <c r="R17" s="11">
        <v>100</v>
      </c>
      <c r="S17" s="10"/>
      <c r="T17" s="10"/>
      <c r="U17" s="10" t="s">
        <v>114</v>
      </c>
      <c r="V17" s="11">
        <v>212.28</v>
      </c>
      <c r="W17" s="10" t="s">
        <v>104</v>
      </c>
      <c r="X17" s="10">
        <v>152.5</v>
      </c>
      <c r="Y17" s="10" t="s">
        <v>116</v>
      </c>
      <c r="Z17" s="10">
        <v>183</v>
      </c>
      <c r="AA17" s="10">
        <v>207.4</v>
      </c>
    </row>
    <row r="18" spans="1:27" x14ac:dyDescent="0.25">
      <c r="A18" s="10"/>
      <c r="B18" s="10"/>
      <c r="C18" s="10" t="s">
        <v>70</v>
      </c>
      <c r="D18" s="11">
        <v>1244.4000000000001</v>
      </c>
      <c r="E18" s="10"/>
      <c r="F18" s="10"/>
      <c r="G18" s="10"/>
      <c r="H18" s="10"/>
      <c r="I18" s="10" t="s">
        <v>117</v>
      </c>
      <c r="J18" s="11">
        <v>3416</v>
      </c>
      <c r="K18" s="10"/>
      <c r="L18" s="10"/>
      <c r="M18" s="10" t="s">
        <v>119</v>
      </c>
      <c r="N18" s="11">
        <v>668.56</v>
      </c>
      <c r="O18" s="10" t="s">
        <v>119</v>
      </c>
      <c r="P18" s="11">
        <v>668.56</v>
      </c>
      <c r="Q18" s="10" t="s">
        <v>70</v>
      </c>
      <c r="R18" s="11">
        <v>600</v>
      </c>
      <c r="S18" s="10"/>
      <c r="T18" s="10"/>
      <c r="U18" s="10" t="s">
        <v>119</v>
      </c>
      <c r="V18" s="11">
        <v>668.56</v>
      </c>
      <c r="W18" s="10" t="s">
        <v>120</v>
      </c>
      <c r="X18" s="10">
        <v>152.5</v>
      </c>
      <c r="Y18" s="10" t="s">
        <v>121</v>
      </c>
      <c r="Z18" s="10">
        <v>244</v>
      </c>
      <c r="AA18" s="10">
        <v>268.39999999999998</v>
      </c>
    </row>
    <row r="19" spans="1:27" x14ac:dyDescent="0.25">
      <c r="A19" s="10" t="s">
        <v>122</v>
      </c>
      <c r="B19" s="10"/>
      <c r="C19" s="10" t="s">
        <v>43</v>
      </c>
      <c r="D19" s="11">
        <v>164.7</v>
      </c>
      <c r="E19" s="10"/>
      <c r="F19" s="10"/>
      <c r="G19" s="10"/>
      <c r="H19" s="9"/>
      <c r="I19" s="10"/>
      <c r="J19" s="10"/>
      <c r="K19" s="10"/>
      <c r="L19" s="10"/>
      <c r="M19" s="10" t="s">
        <v>124</v>
      </c>
      <c r="N19" s="11">
        <v>334.28</v>
      </c>
      <c r="O19" s="10" t="s">
        <v>124</v>
      </c>
      <c r="P19" s="11">
        <v>334.28</v>
      </c>
      <c r="Q19" s="10"/>
      <c r="R19" s="10"/>
      <c r="S19" s="10"/>
      <c r="T19" s="10"/>
      <c r="U19" s="10" t="s">
        <v>124</v>
      </c>
      <c r="V19" s="11">
        <v>334.28</v>
      </c>
      <c r="Y19" s="10" t="s">
        <v>125</v>
      </c>
      <c r="Z19" s="10">
        <v>976</v>
      </c>
      <c r="AA19" s="10">
        <v>1000.4</v>
      </c>
    </row>
    <row r="20" spans="1:27" x14ac:dyDescent="0.25">
      <c r="A20" s="10"/>
      <c r="B20" s="10"/>
      <c r="C20" s="22" t="s">
        <v>126</v>
      </c>
      <c r="D20" s="13">
        <v>2147.1999999999998</v>
      </c>
      <c r="E20" s="10"/>
      <c r="F20" s="10"/>
      <c r="G20" s="10"/>
      <c r="H20" s="10"/>
      <c r="I20" s="10"/>
      <c r="J20" s="10"/>
      <c r="K20" s="10"/>
      <c r="L20" s="10"/>
      <c r="M20" s="10" t="s">
        <v>127</v>
      </c>
      <c r="N20" s="11">
        <v>217.16</v>
      </c>
      <c r="O20" s="10" t="s">
        <v>127</v>
      </c>
      <c r="P20" s="11">
        <v>217.16</v>
      </c>
      <c r="Q20" s="10"/>
      <c r="R20" s="10"/>
      <c r="S20" s="10"/>
      <c r="T20" s="10"/>
      <c r="U20" s="10" t="s">
        <v>127</v>
      </c>
      <c r="V20" s="11">
        <v>217.16</v>
      </c>
      <c r="Y20" s="10" t="s">
        <v>128</v>
      </c>
      <c r="Z20" s="10">
        <v>183</v>
      </c>
      <c r="AA20" s="10">
        <v>207.4</v>
      </c>
    </row>
    <row r="21" spans="1:27" x14ac:dyDescent="0.25">
      <c r="B21" s="10"/>
      <c r="C21" s="22" t="s">
        <v>129</v>
      </c>
      <c r="D21" s="13">
        <v>2416</v>
      </c>
      <c r="E21" s="10"/>
      <c r="F21" s="10"/>
      <c r="G21" s="10"/>
      <c r="H21" s="10"/>
      <c r="I21" s="10"/>
      <c r="J21" s="10"/>
      <c r="K21" s="10"/>
      <c r="L21" s="10"/>
      <c r="M21" s="10" t="s">
        <v>130</v>
      </c>
      <c r="N21" s="11">
        <v>1050.42</v>
      </c>
      <c r="O21" s="10" t="s">
        <v>130</v>
      </c>
      <c r="P21" s="11">
        <v>1050.42</v>
      </c>
      <c r="Q21" s="10"/>
      <c r="R21" s="10"/>
      <c r="S21" s="10"/>
      <c r="T21" s="10"/>
      <c r="U21" s="10" t="s">
        <v>130</v>
      </c>
      <c r="V21" s="11">
        <v>1050.42</v>
      </c>
      <c r="W21" s="96"/>
      <c r="X21" s="96"/>
      <c r="Y21" s="96"/>
      <c r="Z21" s="96"/>
    </row>
    <row r="22" spans="1:27" ht="18" x14ac:dyDescent="0.35">
      <c r="A22" s="10"/>
      <c r="B22" s="10"/>
      <c r="C22" s="10" t="s">
        <v>131</v>
      </c>
      <c r="D22" s="11">
        <v>58.56</v>
      </c>
      <c r="E22" s="10"/>
      <c r="F22" s="10"/>
      <c r="G22" s="10"/>
      <c r="H22" s="10"/>
      <c r="I22" s="10"/>
      <c r="J22" s="10"/>
      <c r="K22" s="10"/>
      <c r="L22" s="10"/>
      <c r="M22" s="10" t="s">
        <v>132</v>
      </c>
      <c r="N22" s="11">
        <v>485.56</v>
      </c>
      <c r="O22" s="10" t="s">
        <v>132</v>
      </c>
      <c r="P22" s="11">
        <v>485.56</v>
      </c>
      <c r="Q22" s="10"/>
      <c r="R22" s="10"/>
      <c r="S22" s="10"/>
      <c r="T22" s="10"/>
      <c r="U22" s="10" t="s">
        <v>132</v>
      </c>
      <c r="V22" s="11">
        <v>485.56</v>
      </c>
      <c r="Y22" s="25" t="s">
        <v>149</v>
      </c>
    </row>
    <row r="23" spans="1:27" ht="15.75" x14ac:dyDescent="0.3">
      <c r="A23" s="10"/>
      <c r="B23" s="10"/>
      <c r="C23" s="10" t="s">
        <v>133</v>
      </c>
      <c r="D23" s="11">
        <v>113.46</v>
      </c>
      <c r="E23" s="10"/>
      <c r="F23" s="10"/>
      <c r="G23" s="10"/>
      <c r="H23" s="10"/>
      <c r="I23" s="10"/>
      <c r="J23" s="10"/>
      <c r="K23" s="10"/>
      <c r="L23" s="10"/>
      <c r="M23" s="10" t="s">
        <v>134</v>
      </c>
      <c r="N23" s="11">
        <v>114.68</v>
      </c>
      <c r="O23" s="10" t="s">
        <v>134</v>
      </c>
      <c r="P23" s="11">
        <v>114.68</v>
      </c>
      <c r="Q23" s="10"/>
      <c r="R23" s="10"/>
      <c r="S23" s="10"/>
      <c r="T23" s="10"/>
      <c r="U23" s="10" t="s">
        <v>134</v>
      </c>
      <c r="V23" s="11">
        <v>114.68</v>
      </c>
      <c r="Y23" s="26" t="s">
        <v>150</v>
      </c>
    </row>
    <row r="24" spans="1:27" ht="15.75" x14ac:dyDescent="0.3">
      <c r="A24" s="10"/>
      <c r="B24" s="10"/>
      <c r="C24" s="10" t="s">
        <v>135</v>
      </c>
      <c r="D24" s="11">
        <v>58.56</v>
      </c>
      <c r="E24" s="10"/>
      <c r="F24" s="10"/>
      <c r="G24" s="10"/>
      <c r="H24" s="10"/>
      <c r="I24" s="10"/>
      <c r="J24" s="10"/>
      <c r="K24" s="10"/>
      <c r="L24" s="10"/>
      <c r="M24" s="10" t="s">
        <v>111</v>
      </c>
      <c r="N24" s="11">
        <v>76.86</v>
      </c>
      <c r="O24" s="10" t="s">
        <v>111</v>
      </c>
      <c r="P24" s="11">
        <v>76.86</v>
      </c>
      <c r="Q24" s="10"/>
      <c r="R24" s="10"/>
      <c r="S24" s="10"/>
      <c r="T24" s="10"/>
      <c r="U24" s="10" t="s">
        <v>111</v>
      </c>
      <c r="V24" s="11">
        <v>76.86</v>
      </c>
      <c r="Y24" s="27" t="s">
        <v>151</v>
      </c>
    </row>
    <row r="25" spans="1:27" x14ac:dyDescent="0.25">
      <c r="A25" s="9" t="s">
        <v>156</v>
      </c>
      <c r="B25" s="10"/>
      <c r="C25" s="10" t="s">
        <v>136</v>
      </c>
      <c r="D25" s="11">
        <v>84.18</v>
      </c>
      <c r="E25" s="10"/>
      <c r="F25" s="10"/>
      <c r="G25" s="10"/>
      <c r="H25" s="10"/>
      <c r="I25" s="10"/>
      <c r="J25" s="10"/>
      <c r="K25" s="10"/>
      <c r="L25" s="10"/>
      <c r="M25" s="10" t="s">
        <v>70</v>
      </c>
      <c r="N25" s="11">
        <v>829.6</v>
      </c>
      <c r="O25" s="10" t="s">
        <v>70</v>
      </c>
      <c r="P25" s="11">
        <v>829.6</v>
      </c>
      <c r="Q25" s="10"/>
      <c r="R25" s="10"/>
      <c r="S25" s="10"/>
      <c r="T25" s="10"/>
      <c r="U25" s="10" t="s">
        <v>70</v>
      </c>
      <c r="V25" s="11">
        <v>829.6</v>
      </c>
    </row>
    <row r="26" spans="1:27" x14ac:dyDescent="0.25">
      <c r="C26" s="10" t="s">
        <v>137</v>
      </c>
      <c r="D26" s="11">
        <v>219.6</v>
      </c>
      <c r="M26" s="10" t="s">
        <v>138</v>
      </c>
      <c r="N26" s="11">
        <v>37</v>
      </c>
    </row>
    <row r="27" spans="1:27" x14ac:dyDescent="0.25">
      <c r="M27" s="10" t="s">
        <v>139</v>
      </c>
      <c r="N27" s="11">
        <v>39</v>
      </c>
    </row>
    <row r="28" spans="1:27" x14ac:dyDescent="0.25">
      <c r="C28" s="9" t="s">
        <v>157</v>
      </c>
      <c r="M28" s="10" t="s">
        <v>140</v>
      </c>
      <c r="N28" s="11">
        <v>28</v>
      </c>
    </row>
    <row r="29" spans="1:27" x14ac:dyDescent="0.25">
      <c r="M29" s="10" t="s">
        <v>141</v>
      </c>
      <c r="N29" s="11">
        <v>37</v>
      </c>
    </row>
    <row r="30" spans="1:27" x14ac:dyDescent="0.25">
      <c r="M30" s="10" t="s">
        <v>142</v>
      </c>
      <c r="N30" s="11">
        <v>31</v>
      </c>
    </row>
  </sheetData>
  <mergeCells count="10">
    <mergeCell ref="Y6:Z6"/>
    <mergeCell ref="W21:Z21"/>
    <mergeCell ref="W5:X5"/>
    <mergeCell ref="A6:B6"/>
    <mergeCell ref="C6:D6"/>
    <mergeCell ref="E6:F6"/>
    <mergeCell ref="G6:H6"/>
    <mergeCell ref="I6:J6"/>
    <mergeCell ref="U6:V6"/>
    <mergeCell ref="W6:X6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0"/>
  <sheetViews>
    <sheetView topLeftCell="A13" workbookViewId="0">
      <selection activeCell="D8" sqref="D8"/>
    </sheetView>
  </sheetViews>
  <sheetFormatPr baseColWidth="10" defaultColWidth="11.42578125" defaultRowHeight="15" x14ac:dyDescent="0.25"/>
  <cols>
    <col min="1" max="1" width="42.140625" customWidth="1"/>
    <col min="2" max="2" width="24.140625" customWidth="1"/>
    <col min="3" max="3" width="33.85546875" customWidth="1"/>
    <col min="4" max="4" width="17.140625" customWidth="1"/>
    <col min="5" max="5" width="22.42578125" customWidth="1"/>
    <col min="6" max="6" width="17" customWidth="1"/>
    <col min="7" max="8" width="20.28515625" customWidth="1"/>
    <col min="9" max="9" width="24" customWidth="1"/>
    <col min="10" max="10" width="18.28515625" customWidth="1"/>
    <col min="11" max="11" width="43.42578125" customWidth="1"/>
    <col min="12" max="12" width="20" customWidth="1"/>
    <col min="13" max="13" width="29.7109375" customWidth="1"/>
    <col min="14" max="14" width="16.5703125" customWidth="1"/>
    <col min="15" max="15" width="22.28515625" customWidth="1"/>
    <col min="16" max="16" width="15.28515625" customWidth="1"/>
    <col min="17" max="17" width="30.28515625" customWidth="1"/>
    <col min="18" max="18" width="15.5703125" customWidth="1"/>
    <col min="19" max="19" width="19.42578125" customWidth="1"/>
    <col min="20" max="20" width="17.7109375" customWidth="1"/>
    <col min="21" max="21" width="32" customWidth="1"/>
    <col min="22" max="22" width="15.28515625" customWidth="1"/>
    <col min="23" max="23" width="15.85546875" customWidth="1"/>
    <col min="24" max="24" width="16.28515625" customWidth="1"/>
    <col min="25" max="25" width="20.28515625" customWidth="1"/>
    <col min="26" max="26" width="26.28515625" customWidth="1"/>
    <col min="27" max="27" width="18.7109375" customWidth="1"/>
    <col min="28" max="28" width="15.42578125" customWidth="1"/>
    <col min="29" max="29" width="18.85546875" customWidth="1"/>
  </cols>
  <sheetData>
    <row r="1" spans="1:27" x14ac:dyDescent="0.25">
      <c r="A1" s="3" t="s">
        <v>0</v>
      </c>
    </row>
    <row r="2" spans="1:27" ht="15.75" thickBot="1" x14ac:dyDescent="0.3"/>
    <row r="3" spans="1:27" ht="15.75" thickBot="1" x14ac:dyDescent="0.3">
      <c r="A3" s="2" t="s">
        <v>1</v>
      </c>
      <c r="B3" s="4">
        <v>0.1</v>
      </c>
      <c r="C3" s="2" t="s">
        <v>1</v>
      </c>
      <c r="D3" s="4">
        <v>0.4</v>
      </c>
      <c r="E3" s="2" t="s">
        <v>1</v>
      </c>
      <c r="F3" s="4">
        <v>0.25</v>
      </c>
      <c r="G3" s="2" t="s">
        <v>1</v>
      </c>
      <c r="H3" s="4" t="s">
        <v>2</v>
      </c>
      <c r="I3" s="2" t="s">
        <v>1</v>
      </c>
      <c r="J3" s="4">
        <v>1</v>
      </c>
      <c r="K3" s="2" t="s">
        <v>1</v>
      </c>
      <c r="L3" s="4" t="s">
        <v>2</v>
      </c>
      <c r="M3" s="2" t="s">
        <v>1</v>
      </c>
      <c r="N3" s="4">
        <v>0.25</v>
      </c>
      <c r="O3" s="2" t="s">
        <v>1</v>
      </c>
      <c r="P3" s="8" t="s">
        <v>2</v>
      </c>
      <c r="Q3" s="2" t="s">
        <v>1</v>
      </c>
      <c r="R3" s="4">
        <v>1</v>
      </c>
      <c r="S3" s="2" t="s">
        <v>1</v>
      </c>
      <c r="T3" s="8" t="s">
        <v>2</v>
      </c>
      <c r="U3" s="2" t="s">
        <v>1</v>
      </c>
      <c r="V3" s="8" t="s">
        <v>2</v>
      </c>
      <c r="W3" s="2" t="s">
        <v>1</v>
      </c>
      <c r="X3" s="8" t="s">
        <v>2</v>
      </c>
      <c r="Y3" s="2" t="s">
        <v>1</v>
      </c>
      <c r="Z3" s="28" t="s">
        <v>2</v>
      </c>
    </row>
    <row r="4" spans="1:27" ht="15.75" thickBot="1" x14ac:dyDescent="0.3">
      <c r="A4" s="1" t="s">
        <v>3</v>
      </c>
      <c r="B4" s="6">
        <v>0.15</v>
      </c>
    </row>
    <row r="5" spans="1:27" ht="15.75" thickBot="1" x14ac:dyDescent="0.3">
      <c r="A5" s="2" t="s">
        <v>4</v>
      </c>
      <c r="B5" s="7" t="s">
        <v>145</v>
      </c>
      <c r="C5" s="2" t="s">
        <v>4</v>
      </c>
      <c r="D5" s="7" t="s">
        <v>6</v>
      </c>
      <c r="E5" s="2" t="s">
        <v>4</v>
      </c>
      <c r="F5" s="7" t="s">
        <v>8</v>
      </c>
      <c r="G5" s="2" t="s">
        <v>4</v>
      </c>
      <c r="H5" s="7" t="s">
        <v>8</v>
      </c>
      <c r="I5" s="2" t="s">
        <v>4</v>
      </c>
      <c r="J5" s="7" t="s">
        <v>8</v>
      </c>
      <c r="K5" s="2" t="s">
        <v>9</v>
      </c>
      <c r="L5" s="7" t="s">
        <v>8</v>
      </c>
      <c r="M5" s="2" t="s">
        <v>4</v>
      </c>
      <c r="N5" s="7" t="s">
        <v>8</v>
      </c>
      <c r="O5" s="2" t="s">
        <v>11</v>
      </c>
      <c r="P5" s="7" t="s">
        <v>8</v>
      </c>
      <c r="Q5" s="2" t="s">
        <v>4</v>
      </c>
      <c r="R5" s="7" t="s">
        <v>8</v>
      </c>
      <c r="S5" s="2" t="s">
        <v>12</v>
      </c>
      <c r="T5" s="7" t="s">
        <v>8</v>
      </c>
      <c r="U5" s="2" t="s">
        <v>13</v>
      </c>
      <c r="V5" s="7" t="s">
        <v>8</v>
      </c>
      <c r="W5" s="101" t="s">
        <v>14</v>
      </c>
      <c r="X5" s="102"/>
      <c r="Y5" s="23" t="s">
        <v>4</v>
      </c>
      <c r="Z5" s="24"/>
    </row>
    <row r="6" spans="1:27" x14ac:dyDescent="0.25">
      <c r="A6" s="107" t="s">
        <v>15</v>
      </c>
      <c r="B6" s="107"/>
      <c r="C6" s="105" t="s">
        <v>16</v>
      </c>
      <c r="D6" s="105"/>
      <c r="E6" s="105" t="s">
        <v>17</v>
      </c>
      <c r="F6" s="105"/>
      <c r="G6" s="95" t="s">
        <v>18</v>
      </c>
      <c r="H6" s="95"/>
      <c r="I6" s="105" t="s">
        <v>19</v>
      </c>
      <c r="J6" s="105"/>
      <c r="K6" s="17" t="s">
        <v>20</v>
      </c>
      <c r="L6" s="17"/>
      <c r="M6" s="17" t="s">
        <v>153</v>
      </c>
      <c r="N6" s="17"/>
      <c r="O6" s="17" t="s">
        <v>22</v>
      </c>
      <c r="P6" s="17"/>
      <c r="Q6" s="17" t="s">
        <v>23</v>
      </c>
      <c r="R6" s="17"/>
      <c r="S6" s="17" t="s">
        <v>24</v>
      </c>
      <c r="T6" s="17"/>
      <c r="U6" s="95" t="s">
        <v>25</v>
      </c>
      <c r="V6" s="95"/>
      <c r="W6" s="95" t="s">
        <v>26</v>
      </c>
      <c r="X6" s="95"/>
      <c r="Y6" s="95" t="s">
        <v>27</v>
      </c>
      <c r="Z6" s="95"/>
    </row>
    <row r="7" spans="1:27" x14ac:dyDescent="0.25">
      <c r="A7" s="9" t="s">
        <v>28</v>
      </c>
      <c r="B7" s="9" t="s">
        <v>31</v>
      </c>
      <c r="C7" s="9" t="s">
        <v>28</v>
      </c>
      <c r="D7" s="9" t="s">
        <v>30</v>
      </c>
      <c r="E7" s="9" t="s">
        <v>28</v>
      </c>
      <c r="F7" s="9" t="s">
        <v>30</v>
      </c>
      <c r="G7" s="9" t="s">
        <v>28</v>
      </c>
      <c r="H7" s="12" t="s">
        <v>30</v>
      </c>
      <c r="I7" s="9" t="s">
        <v>28</v>
      </c>
      <c r="J7" s="9" t="s">
        <v>30</v>
      </c>
      <c r="K7" s="9" t="s">
        <v>28</v>
      </c>
      <c r="L7" s="9" t="s">
        <v>31</v>
      </c>
      <c r="M7" s="9" t="s">
        <v>28</v>
      </c>
      <c r="N7" s="9" t="s">
        <v>31</v>
      </c>
      <c r="O7" s="9" t="s">
        <v>28</v>
      </c>
      <c r="P7" s="9" t="s">
        <v>31</v>
      </c>
      <c r="Q7" s="9" t="s">
        <v>28</v>
      </c>
      <c r="R7" s="9" t="s">
        <v>31</v>
      </c>
      <c r="S7" s="9" t="s">
        <v>28</v>
      </c>
      <c r="T7" s="9" t="s">
        <v>31</v>
      </c>
      <c r="U7" s="9" t="s">
        <v>28</v>
      </c>
      <c r="V7" s="9" t="s">
        <v>31</v>
      </c>
      <c r="W7" s="9" t="s">
        <v>32</v>
      </c>
      <c r="X7" s="9" t="s">
        <v>33</v>
      </c>
      <c r="Y7" s="9" t="s">
        <v>32</v>
      </c>
      <c r="Z7" s="9" t="s">
        <v>34</v>
      </c>
      <c r="AA7" s="9" t="s">
        <v>35</v>
      </c>
    </row>
    <row r="8" spans="1:27" x14ac:dyDescent="0.25">
      <c r="A8" s="10" t="s">
        <v>36</v>
      </c>
      <c r="B8" s="13">
        <v>269.51</v>
      </c>
      <c r="C8" s="10" t="s">
        <v>37</v>
      </c>
      <c r="D8" s="11">
        <v>122</v>
      </c>
      <c r="E8" s="10" t="s">
        <v>38</v>
      </c>
      <c r="F8" s="11">
        <v>81</v>
      </c>
      <c r="G8" s="10" t="s">
        <v>39</v>
      </c>
      <c r="H8" s="13">
        <v>103.7</v>
      </c>
      <c r="I8" s="10" t="s">
        <v>40</v>
      </c>
      <c r="J8" s="11">
        <v>128.1</v>
      </c>
      <c r="K8" s="10" t="s">
        <v>41</v>
      </c>
      <c r="L8" s="11">
        <v>103.7</v>
      </c>
      <c r="M8" s="10" t="s">
        <v>42</v>
      </c>
      <c r="N8" s="11">
        <v>86.62</v>
      </c>
      <c r="O8" s="10" t="s">
        <v>42</v>
      </c>
      <c r="P8" s="11">
        <v>86.62</v>
      </c>
      <c r="Q8" s="10" t="s">
        <v>43</v>
      </c>
      <c r="R8" s="11">
        <v>90</v>
      </c>
      <c r="S8" s="10" t="s">
        <v>43</v>
      </c>
      <c r="T8" s="11">
        <v>97.6</v>
      </c>
      <c r="U8" s="10" t="s">
        <v>42</v>
      </c>
      <c r="V8" s="11">
        <v>86.62</v>
      </c>
      <c r="W8" s="10" t="s">
        <v>39</v>
      </c>
      <c r="X8" s="10">
        <v>122</v>
      </c>
      <c r="Y8" s="10" t="s">
        <v>44</v>
      </c>
      <c r="Z8" s="10">
        <v>87.84</v>
      </c>
      <c r="AA8" s="10">
        <v>112.24</v>
      </c>
    </row>
    <row r="9" spans="1:27" x14ac:dyDescent="0.25">
      <c r="A9" s="10" t="s">
        <v>45</v>
      </c>
      <c r="B9" s="13">
        <v>376.8</v>
      </c>
      <c r="C9" s="10" t="s">
        <v>46</v>
      </c>
      <c r="D9" s="11">
        <v>164.7</v>
      </c>
      <c r="E9" s="10" t="s">
        <v>47</v>
      </c>
      <c r="F9" s="11">
        <v>50</v>
      </c>
      <c r="G9" s="10" t="s">
        <v>48</v>
      </c>
      <c r="H9" s="13">
        <v>140.30000000000001</v>
      </c>
      <c r="I9" s="10" t="s">
        <v>49</v>
      </c>
      <c r="J9" s="11">
        <v>103.7</v>
      </c>
      <c r="K9" s="10" t="s">
        <v>50</v>
      </c>
      <c r="L9" s="11">
        <v>146.4</v>
      </c>
      <c r="M9" s="10" t="s">
        <v>51</v>
      </c>
      <c r="N9" s="11">
        <v>129.32</v>
      </c>
      <c r="O9" s="10" t="s">
        <v>51</v>
      </c>
      <c r="P9" s="11">
        <v>129.32</v>
      </c>
      <c r="Q9" s="10" t="s">
        <v>52</v>
      </c>
      <c r="R9" s="11">
        <v>90</v>
      </c>
      <c r="S9" s="10" t="s">
        <v>39</v>
      </c>
      <c r="T9" s="11">
        <v>73.2</v>
      </c>
      <c r="U9" s="10" t="s">
        <v>51</v>
      </c>
      <c r="V9" s="11">
        <v>129.32</v>
      </c>
      <c r="W9" s="10" t="s">
        <v>48</v>
      </c>
      <c r="X9" s="10">
        <v>146.4</v>
      </c>
      <c r="Y9" s="10" t="s">
        <v>53</v>
      </c>
      <c r="Z9" s="10">
        <v>106.14</v>
      </c>
      <c r="AA9" s="10">
        <v>130.54</v>
      </c>
    </row>
    <row r="10" spans="1:27" x14ac:dyDescent="0.25">
      <c r="A10" s="10" t="s">
        <v>54</v>
      </c>
      <c r="B10" s="13">
        <v>404.27</v>
      </c>
      <c r="C10" s="10" t="s">
        <v>54</v>
      </c>
      <c r="D10" s="11">
        <v>423.34</v>
      </c>
      <c r="E10" s="10" t="s">
        <v>55</v>
      </c>
      <c r="F10" s="11">
        <v>78</v>
      </c>
      <c r="G10" s="10" t="s">
        <v>56</v>
      </c>
      <c r="H10" s="13">
        <v>280.60000000000002</v>
      </c>
      <c r="I10" s="10" t="s">
        <v>57</v>
      </c>
      <c r="J10" s="11">
        <v>103.7</v>
      </c>
      <c r="K10" s="10" t="s">
        <v>58</v>
      </c>
      <c r="L10" s="11">
        <v>305</v>
      </c>
      <c r="M10" s="10" t="s">
        <v>59</v>
      </c>
      <c r="N10" s="11">
        <v>167.14</v>
      </c>
      <c r="O10" s="10" t="s">
        <v>59</v>
      </c>
      <c r="P10" s="11">
        <v>167.14</v>
      </c>
      <c r="Q10" s="10" t="s">
        <v>60</v>
      </c>
      <c r="R10" s="11">
        <v>100</v>
      </c>
      <c r="S10" s="10" t="s">
        <v>48</v>
      </c>
      <c r="T10" s="11">
        <v>85.4</v>
      </c>
      <c r="U10" s="10" t="s">
        <v>59</v>
      </c>
      <c r="V10" s="11">
        <v>167.14</v>
      </c>
      <c r="W10" s="10" t="s">
        <v>56</v>
      </c>
      <c r="X10" s="10">
        <v>427</v>
      </c>
      <c r="Y10" s="10" t="s">
        <v>61</v>
      </c>
      <c r="Z10" s="10">
        <v>231.79999999999998</v>
      </c>
      <c r="AA10" s="10">
        <v>256.2</v>
      </c>
    </row>
    <row r="11" spans="1:27" x14ac:dyDescent="0.25">
      <c r="A11" s="10" t="s">
        <v>62</v>
      </c>
      <c r="B11" s="13">
        <v>1348.88</v>
      </c>
      <c r="C11" s="10" t="s">
        <v>63</v>
      </c>
      <c r="D11" s="11">
        <v>927.2</v>
      </c>
      <c r="E11" s="10" t="s">
        <v>57</v>
      </c>
      <c r="F11" s="11">
        <v>100</v>
      </c>
      <c r="G11" s="10" t="s">
        <v>64</v>
      </c>
      <c r="H11" s="13">
        <v>225.7</v>
      </c>
      <c r="I11" s="10" t="s">
        <v>65</v>
      </c>
      <c r="J11" s="11">
        <v>115.9</v>
      </c>
      <c r="K11" s="10" t="s">
        <v>66</v>
      </c>
      <c r="L11" s="11">
        <v>829.6</v>
      </c>
      <c r="M11" s="10" t="s">
        <v>67</v>
      </c>
      <c r="N11" s="11">
        <v>86.62</v>
      </c>
      <c r="O11" s="10" t="s">
        <v>67</v>
      </c>
      <c r="P11" s="11">
        <v>86.62</v>
      </c>
      <c r="Q11" s="10" t="s">
        <v>56</v>
      </c>
      <c r="R11" s="11">
        <v>200</v>
      </c>
      <c r="S11" s="10" t="s">
        <v>56</v>
      </c>
      <c r="T11" s="11">
        <v>183</v>
      </c>
      <c r="U11" s="10" t="s">
        <v>67</v>
      </c>
      <c r="V11" s="11">
        <v>86.62</v>
      </c>
      <c r="W11" s="10" t="s">
        <v>68</v>
      </c>
      <c r="X11" s="10">
        <v>488</v>
      </c>
      <c r="Y11" s="10" t="s">
        <v>69</v>
      </c>
      <c r="Z11" s="10">
        <v>463.59999999999997</v>
      </c>
      <c r="AA11" s="10">
        <v>488</v>
      </c>
    </row>
    <row r="12" spans="1:27" x14ac:dyDescent="0.25">
      <c r="A12" s="10" t="s">
        <v>70</v>
      </c>
      <c r="B12" s="13">
        <v>1923.24</v>
      </c>
      <c r="C12" s="10" t="s">
        <v>71</v>
      </c>
      <c r="D12" s="11">
        <v>1549.4</v>
      </c>
      <c r="E12" s="10" t="s">
        <v>72</v>
      </c>
      <c r="F12" s="11">
        <v>180</v>
      </c>
      <c r="G12" s="10" t="s">
        <v>73</v>
      </c>
      <c r="H12" s="13">
        <v>622.20000000000005</v>
      </c>
      <c r="I12" s="10" t="s">
        <v>58</v>
      </c>
      <c r="J12" s="11">
        <v>244</v>
      </c>
      <c r="K12" s="10" t="s">
        <v>74</v>
      </c>
      <c r="L12" s="11">
        <v>1018.7</v>
      </c>
      <c r="M12" s="10" t="s">
        <v>75</v>
      </c>
      <c r="N12" s="11">
        <v>114.68</v>
      </c>
      <c r="O12" s="10" t="s">
        <v>75</v>
      </c>
      <c r="P12" s="11">
        <v>114.68</v>
      </c>
      <c r="Q12" s="10" t="s">
        <v>76</v>
      </c>
      <c r="R12" s="11">
        <v>180</v>
      </c>
      <c r="S12" s="10" t="s">
        <v>77</v>
      </c>
      <c r="T12" s="11">
        <v>610</v>
      </c>
      <c r="U12" s="10" t="s">
        <v>75</v>
      </c>
      <c r="V12" s="11">
        <v>114.68</v>
      </c>
      <c r="W12" s="10" t="s">
        <v>78</v>
      </c>
      <c r="X12" s="10">
        <v>1098</v>
      </c>
      <c r="Y12" s="10" t="s">
        <v>79</v>
      </c>
      <c r="Z12" s="10">
        <v>829.6</v>
      </c>
      <c r="AA12" s="10">
        <v>854</v>
      </c>
    </row>
    <row r="13" spans="1:27" x14ac:dyDescent="0.25">
      <c r="A13" s="10" t="s">
        <v>80</v>
      </c>
      <c r="B13" s="13">
        <v>172.7</v>
      </c>
      <c r="C13" s="18" t="s">
        <v>81</v>
      </c>
      <c r="D13" s="19">
        <v>3660</v>
      </c>
      <c r="E13" s="10" t="s">
        <v>82</v>
      </c>
      <c r="F13" s="11">
        <v>180</v>
      </c>
      <c r="G13" s="10" t="s">
        <v>83</v>
      </c>
      <c r="H13" s="13">
        <v>969.9</v>
      </c>
      <c r="I13" s="10" t="s">
        <v>84</v>
      </c>
      <c r="J13" s="11">
        <v>134.19999999999999</v>
      </c>
      <c r="K13" s="10" t="s">
        <v>40</v>
      </c>
      <c r="L13" s="11">
        <v>146.4</v>
      </c>
      <c r="M13" s="10" t="s">
        <v>85</v>
      </c>
      <c r="N13" s="11">
        <v>86.62</v>
      </c>
      <c r="O13" s="10" t="s">
        <v>85</v>
      </c>
      <c r="P13" s="11">
        <v>86.62</v>
      </c>
      <c r="Q13" s="10" t="s">
        <v>78</v>
      </c>
      <c r="R13" s="11">
        <v>445</v>
      </c>
      <c r="S13" s="10" t="s">
        <v>78</v>
      </c>
      <c r="T13" s="11">
        <v>366</v>
      </c>
      <c r="U13" s="10" t="s">
        <v>85</v>
      </c>
      <c r="V13" s="11">
        <v>86.62</v>
      </c>
      <c r="W13" s="10" t="s">
        <v>86</v>
      </c>
      <c r="X13" s="10">
        <v>1586</v>
      </c>
      <c r="Y13" s="10" t="s">
        <v>87</v>
      </c>
      <c r="Z13" s="10">
        <v>1000.4</v>
      </c>
      <c r="AA13" s="10">
        <v>1024.8</v>
      </c>
    </row>
    <row r="14" spans="1:27" x14ac:dyDescent="0.25">
      <c r="A14" s="10" t="s">
        <v>88</v>
      </c>
      <c r="B14" s="13">
        <v>345.4</v>
      </c>
      <c r="C14" s="10" t="s">
        <v>89</v>
      </c>
      <c r="D14" s="11">
        <v>214.72</v>
      </c>
      <c r="E14" s="10" t="s">
        <v>83</v>
      </c>
      <c r="F14" s="11">
        <v>550</v>
      </c>
      <c r="G14" s="10" t="s">
        <v>40</v>
      </c>
      <c r="H14" s="13">
        <v>176.9</v>
      </c>
      <c r="I14" s="10" t="s">
        <v>70</v>
      </c>
      <c r="J14" s="11">
        <v>976</v>
      </c>
      <c r="K14" s="10" t="s">
        <v>90</v>
      </c>
      <c r="L14" s="11">
        <v>134.19999999999999</v>
      </c>
      <c r="M14" s="10" t="s">
        <v>91</v>
      </c>
      <c r="N14" s="11">
        <v>1493.28</v>
      </c>
      <c r="O14" s="10" t="s">
        <v>91</v>
      </c>
      <c r="P14" s="11">
        <v>1493.28</v>
      </c>
      <c r="Q14" s="10" t="s">
        <v>77</v>
      </c>
      <c r="R14" s="11">
        <v>665</v>
      </c>
      <c r="S14" s="10" t="s">
        <v>40</v>
      </c>
      <c r="T14" s="11">
        <v>97.6</v>
      </c>
      <c r="U14" s="10" t="s">
        <v>91</v>
      </c>
      <c r="V14" s="11">
        <v>1493.28</v>
      </c>
      <c r="W14" s="10" t="s">
        <v>92</v>
      </c>
      <c r="X14" s="10">
        <v>128.1</v>
      </c>
      <c r="Y14" s="10" t="s">
        <v>93</v>
      </c>
      <c r="Z14" s="10">
        <v>146.4</v>
      </c>
      <c r="AA14" s="10">
        <v>195.2</v>
      </c>
    </row>
    <row r="15" spans="1:27" x14ac:dyDescent="0.25">
      <c r="A15" s="10" t="s">
        <v>94</v>
      </c>
      <c r="B15" s="13">
        <v>252.5</v>
      </c>
      <c r="C15" s="10" t="s">
        <v>95</v>
      </c>
      <c r="D15" s="11">
        <v>284.26</v>
      </c>
      <c r="E15" s="10" t="s">
        <v>70</v>
      </c>
      <c r="F15" s="11">
        <v>500</v>
      </c>
      <c r="G15" s="10" t="s">
        <v>96</v>
      </c>
      <c r="H15" s="13">
        <v>683.2</v>
      </c>
      <c r="I15" s="10" t="s">
        <v>97</v>
      </c>
      <c r="J15" s="11">
        <v>634.4</v>
      </c>
      <c r="K15" s="10" t="s">
        <v>98</v>
      </c>
      <c r="L15" s="11">
        <v>134.19999999999999</v>
      </c>
      <c r="M15" s="10" t="s">
        <v>99</v>
      </c>
      <c r="N15" s="11">
        <v>101.26</v>
      </c>
      <c r="O15" s="10" t="s">
        <v>99</v>
      </c>
      <c r="P15" s="11">
        <v>101.26</v>
      </c>
      <c r="Q15" s="10" t="s">
        <v>100</v>
      </c>
      <c r="R15" s="11">
        <v>85</v>
      </c>
      <c r="S15" s="10"/>
      <c r="T15" s="10"/>
      <c r="U15" s="10" t="s">
        <v>99</v>
      </c>
      <c r="V15" s="11">
        <v>101.26</v>
      </c>
      <c r="W15" s="10" t="s">
        <v>101</v>
      </c>
      <c r="X15" s="10">
        <v>213.5</v>
      </c>
      <c r="Y15" s="10" t="s">
        <v>102</v>
      </c>
      <c r="Z15" s="10">
        <v>195.2</v>
      </c>
      <c r="AA15" s="10">
        <v>219.6</v>
      </c>
    </row>
    <row r="16" spans="1:27" x14ac:dyDescent="0.25">
      <c r="A16" s="10" t="s">
        <v>103</v>
      </c>
      <c r="B16" s="13">
        <v>334.93</v>
      </c>
      <c r="C16" s="10" t="s">
        <v>104</v>
      </c>
      <c r="D16" s="11">
        <v>214.72</v>
      </c>
      <c r="E16" s="10"/>
      <c r="F16" s="10"/>
      <c r="G16" s="10" t="s">
        <v>43</v>
      </c>
      <c r="H16" s="13">
        <v>122</v>
      </c>
      <c r="I16" s="10" t="s">
        <v>106</v>
      </c>
      <c r="J16" s="11">
        <v>1024.8</v>
      </c>
      <c r="K16" s="10"/>
      <c r="L16" s="10"/>
      <c r="M16" s="10" t="s">
        <v>107</v>
      </c>
      <c r="N16" s="11">
        <v>86.62</v>
      </c>
      <c r="O16" s="10" t="s">
        <v>107</v>
      </c>
      <c r="P16" s="11">
        <v>86.62</v>
      </c>
      <c r="Q16" s="10" t="s">
        <v>108</v>
      </c>
      <c r="R16" s="11">
        <v>125</v>
      </c>
      <c r="S16" s="10"/>
      <c r="T16" s="10"/>
      <c r="U16" s="10" t="s">
        <v>107</v>
      </c>
      <c r="V16" s="11">
        <v>86.62</v>
      </c>
      <c r="W16" s="10" t="s">
        <v>109</v>
      </c>
      <c r="X16" s="10">
        <v>1037</v>
      </c>
      <c r="Y16" s="10" t="s">
        <v>110</v>
      </c>
      <c r="Z16" s="10">
        <v>268.39999999999998</v>
      </c>
      <c r="AA16" s="10">
        <v>292.8</v>
      </c>
    </row>
    <row r="17" spans="1:27" x14ac:dyDescent="0.25">
      <c r="A17" s="10" t="s">
        <v>147</v>
      </c>
      <c r="B17" s="13">
        <v>426.51</v>
      </c>
      <c r="C17" s="10" t="s">
        <v>111</v>
      </c>
      <c r="D17" s="11">
        <v>103.7</v>
      </c>
      <c r="E17" s="10"/>
      <c r="F17" s="10"/>
      <c r="G17" s="10"/>
      <c r="H17" s="10"/>
      <c r="I17" s="10" t="s">
        <v>112</v>
      </c>
      <c r="J17" s="11">
        <v>1207.8</v>
      </c>
      <c r="K17" s="10"/>
      <c r="L17" s="10"/>
      <c r="M17" s="10" t="s">
        <v>114</v>
      </c>
      <c r="N17" s="11">
        <v>212.28</v>
      </c>
      <c r="O17" s="10" t="s">
        <v>114</v>
      </c>
      <c r="P17" s="11">
        <v>212.28</v>
      </c>
      <c r="Q17" s="10" t="s">
        <v>115</v>
      </c>
      <c r="R17" s="11">
        <v>100</v>
      </c>
      <c r="S17" s="10"/>
      <c r="T17" s="10"/>
      <c r="U17" s="10" t="s">
        <v>114</v>
      </c>
      <c r="V17" s="11">
        <v>212.28</v>
      </c>
      <c r="W17" s="10" t="s">
        <v>104</v>
      </c>
      <c r="X17" s="10">
        <v>152.5</v>
      </c>
      <c r="Y17" s="10" t="s">
        <v>116</v>
      </c>
      <c r="Z17" s="10">
        <v>183</v>
      </c>
      <c r="AA17" s="10">
        <v>207.4</v>
      </c>
    </row>
    <row r="18" spans="1:27" x14ac:dyDescent="0.25">
      <c r="A18" s="10"/>
      <c r="B18" s="10"/>
      <c r="C18" s="10" t="s">
        <v>70</v>
      </c>
      <c r="D18" s="11">
        <v>1146.8</v>
      </c>
      <c r="E18" s="10"/>
      <c r="F18" s="10"/>
      <c r="G18" s="10"/>
      <c r="H18" s="10"/>
      <c r="I18" s="10" t="s">
        <v>117</v>
      </c>
      <c r="J18" s="11">
        <v>3416</v>
      </c>
      <c r="K18" s="10"/>
      <c r="L18" s="10"/>
      <c r="M18" s="10" t="s">
        <v>119</v>
      </c>
      <c r="N18" s="11">
        <v>668.56</v>
      </c>
      <c r="O18" s="10" t="s">
        <v>119</v>
      </c>
      <c r="P18" s="11">
        <v>668.56</v>
      </c>
      <c r="Q18" s="10" t="s">
        <v>70</v>
      </c>
      <c r="R18" s="11">
        <v>600</v>
      </c>
      <c r="S18" s="10"/>
      <c r="T18" s="10"/>
      <c r="U18" s="10" t="s">
        <v>119</v>
      </c>
      <c r="V18" s="11">
        <v>668.56</v>
      </c>
      <c r="W18" s="10" t="s">
        <v>120</v>
      </c>
      <c r="X18" s="10">
        <v>152.5</v>
      </c>
      <c r="Y18" s="10" t="s">
        <v>121</v>
      </c>
      <c r="Z18" s="10">
        <v>244</v>
      </c>
      <c r="AA18" s="10">
        <v>268.39999999999998</v>
      </c>
    </row>
    <row r="19" spans="1:27" x14ac:dyDescent="0.25">
      <c r="A19" s="10" t="s">
        <v>122</v>
      </c>
      <c r="B19" s="10"/>
      <c r="C19" s="10" t="s">
        <v>43</v>
      </c>
      <c r="D19" s="11">
        <v>152.5</v>
      </c>
      <c r="E19" s="10"/>
      <c r="F19" s="10"/>
      <c r="G19" s="10"/>
      <c r="H19" s="9"/>
      <c r="I19" s="10"/>
      <c r="J19" s="10"/>
      <c r="K19" s="10"/>
      <c r="L19" s="10"/>
      <c r="M19" s="10" t="s">
        <v>124</v>
      </c>
      <c r="N19" s="11">
        <v>334.28</v>
      </c>
      <c r="O19" s="10" t="s">
        <v>124</v>
      </c>
      <c r="P19" s="11">
        <v>334.28</v>
      </c>
      <c r="Q19" s="10"/>
      <c r="R19" s="10"/>
      <c r="S19" s="10"/>
      <c r="T19" s="10"/>
      <c r="U19" s="10" t="s">
        <v>124</v>
      </c>
      <c r="V19" s="11">
        <v>334.28</v>
      </c>
      <c r="Y19" s="10" t="s">
        <v>125</v>
      </c>
      <c r="Z19" s="10">
        <v>976</v>
      </c>
      <c r="AA19" s="10">
        <v>1000.4</v>
      </c>
    </row>
    <row r="20" spans="1:27" x14ac:dyDescent="0.25">
      <c r="A20" s="10"/>
      <c r="B20" s="10"/>
      <c r="C20" s="22" t="s">
        <v>126</v>
      </c>
      <c r="D20" s="13">
        <v>1952</v>
      </c>
      <c r="E20" s="10"/>
      <c r="F20" s="10"/>
      <c r="G20" s="10"/>
      <c r="H20" s="10"/>
      <c r="I20" s="10"/>
      <c r="J20" s="10"/>
      <c r="K20" s="10"/>
      <c r="L20" s="10"/>
      <c r="M20" s="10" t="s">
        <v>127</v>
      </c>
      <c r="N20" s="11">
        <v>217.16</v>
      </c>
      <c r="O20" s="10" t="s">
        <v>127</v>
      </c>
      <c r="P20" s="11">
        <v>217.16</v>
      </c>
      <c r="Q20" s="10"/>
      <c r="R20" s="10"/>
      <c r="S20" s="10"/>
      <c r="T20" s="10"/>
      <c r="U20" s="10" t="s">
        <v>127</v>
      </c>
      <c r="V20" s="11">
        <v>217.16</v>
      </c>
      <c r="Y20" s="10" t="s">
        <v>128</v>
      </c>
      <c r="Z20" s="10">
        <v>183</v>
      </c>
      <c r="AA20" s="10">
        <v>207.4</v>
      </c>
    </row>
    <row r="21" spans="1:27" x14ac:dyDescent="0.25">
      <c r="B21" s="10"/>
      <c r="C21" s="22" t="s">
        <v>129</v>
      </c>
      <c r="D21" s="13">
        <v>2196</v>
      </c>
      <c r="E21" s="10"/>
      <c r="F21" s="10"/>
      <c r="G21" s="10"/>
      <c r="H21" s="10"/>
      <c r="I21" s="10"/>
      <c r="J21" s="10"/>
      <c r="K21" s="10"/>
      <c r="L21" s="10"/>
      <c r="M21" s="10" t="s">
        <v>130</v>
      </c>
      <c r="N21" s="11">
        <v>1050.42</v>
      </c>
      <c r="O21" s="10" t="s">
        <v>130</v>
      </c>
      <c r="P21" s="11">
        <v>1050.42</v>
      </c>
      <c r="Q21" s="10"/>
      <c r="R21" s="10"/>
      <c r="S21" s="10"/>
      <c r="T21" s="10"/>
      <c r="U21" s="10" t="s">
        <v>130</v>
      </c>
      <c r="V21" s="11">
        <v>1050.42</v>
      </c>
      <c r="W21" s="96"/>
      <c r="X21" s="96"/>
      <c r="Y21" s="96"/>
      <c r="Z21" s="96"/>
    </row>
    <row r="22" spans="1:27" ht="18" x14ac:dyDescent="0.35">
      <c r="A22" s="10"/>
      <c r="B22" s="10"/>
      <c r="C22" s="10" t="s">
        <v>131</v>
      </c>
      <c r="D22" s="11">
        <v>53.68</v>
      </c>
      <c r="E22" s="10"/>
      <c r="F22" s="10"/>
      <c r="G22" s="10"/>
      <c r="H22" s="10"/>
      <c r="I22" s="10"/>
      <c r="J22" s="10"/>
      <c r="K22" s="10"/>
      <c r="L22" s="10"/>
      <c r="M22" s="10" t="s">
        <v>132</v>
      </c>
      <c r="N22" s="11">
        <v>485.56</v>
      </c>
      <c r="O22" s="10" t="s">
        <v>132</v>
      </c>
      <c r="P22" s="11">
        <v>485.56</v>
      </c>
      <c r="Q22" s="10"/>
      <c r="R22" s="10"/>
      <c r="S22" s="10"/>
      <c r="T22" s="10"/>
      <c r="U22" s="10" t="s">
        <v>132</v>
      </c>
      <c r="V22" s="11">
        <v>485.56</v>
      </c>
      <c r="Y22" s="25" t="s">
        <v>149</v>
      </c>
    </row>
    <row r="23" spans="1:27" ht="15.75" x14ac:dyDescent="0.3">
      <c r="A23" s="10"/>
      <c r="B23" s="10"/>
      <c r="C23" s="10" t="s">
        <v>133</v>
      </c>
      <c r="D23" s="11">
        <v>103.7</v>
      </c>
      <c r="E23" s="10"/>
      <c r="F23" s="10"/>
      <c r="G23" s="10"/>
      <c r="H23" s="10"/>
      <c r="I23" s="10"/>
      <c r="J23" s="10"/>
      <c r="K23" s="10"/>
      <c r="L23" s="10"/>
      <c r="M23" s="10" t="s">
        <v>134</v>
      </c>
      <c r="N23" s="11">
        <v>114.68</v>
      </c>
      <c r="O23" s="10" t="s">
        <v>134</v>
      </c>
      <c r="P23" s="11">
        <v>114.68</v>
      </c>
      <c r="Q23" s="10"/>
      <c r="R23" s="10"/>
      <c r="S23" s="10"/>
      <c r="T23" s="10"/>
      <c r="U23" s="10" t="s">
        <v>134</v>
      </c>
      <c r="V23" s="11">
        <v>114.68</v>
      </c>
      <c r="Y23" s="26" t="s">
        <v>150</v>
      </c>
    </row>
    <row r="24" spans="1:27" ht="15.75" x14ac:dyDescent="0.3">
      <c r="A24" s="10"/>
      <c r="B24" s="10"/>
      <c r="C24" s="10" t="s">
        <v>135</v>
      </c>
      <c r="D24" s="11">
        <v>53.68</v>
      </c>
      <c r="E24" s="10"/>
      <c r="F24" s="10"/>
      <c r="G24" s="10"/>
      <c r="H24" s="10"/>
      <c r="I24" s="10"/>
      <c r="J24" s="10"/>
      <c r="K24" s="10"/>
      <c r="L24" s="10"/>
      <c r="M24" s="10" t="s">
        <v>111</v>
      </c>
      <c r="N24" s="11">
        <v>76.86</v>
      </c>
      <c r="O24" s="10" t="s">
        <v>111</v>
      </c>
      <c r="P24" s="11">
        <v>76.86</v>
      </c>
      <c r="Q24" s="10"/>
      <c r="R24" s="10"/>
      <c r="S24" s="10"/>
      <c r="T24" s="10"/>
      <c r="U24" s="10" t="s">
        <v>111</v>
      </c>
      <c r="V24" s="11">
        <v>76.86</v>
      </c>
      <c r="Y24" s="27" t="s">
        <v>151</v>
      </c>
    </row>
    <row r="25" spans="1:27" x14ac:dyDescent="0.25">
      <c r="A25" s="9" t="s">
        <v>156</v>
      </c>
      <c r="B25" s="10"/>
      <c r="C25" s="10" t="s">
        <v>136</v>
      </c>
      <c r="D25" s="11">
        <v>76.86</v>
      </c>
      <c r="E25" s="10"/>
      <c r="F25" s="10"/>
      <c r="G25" s="10"/>
      <c r="H25" s="10"/>
      <c r="I25" s="10"/>
      <c r="J25" s="10"/>
      <c r="K25" s="10"/>
      <c r="L25" s="10"/>
      <c r="M25" s="10" t="s">
        <v>70</v>
      </c>
      <c r="N25" s="11">
        <v>829.6</v>
      </c>
      <c r="O25" s="10" t="s">
        <v>70</v>
      </c>
      <c r="P25" s="11">
        <v>829.6</v>
      </c>
      <c r="Q25" s="10"/>
      <c r="R25" s="10"/>
      <c r="S25" s="10"/>
      <c r="T25" s="10"/>
      <c r="U25" s="10" t="s">
        <v>70</v>
      </c>
      <c r="V25" s="11">
        <v>829.6</v>
      </c>
    </row>
    <row r="26" spans="1:27" x14ac:dyDescent="0.25">
      <c r="C26" s="10" t="s">
        <v>137</v>
      </c>
      <c r="D26" s="11">
        <v>201.3</v>
      </c>
      <c r="M26" s="10" t="s">
        <v>138</v>
      </c>
      <c r="N26" s="11">
        <v>37</v>
      </c>
    </row>
    <row r="27" spans="1:27" x14ac:dyDescent="0.25">
      <c r="M27" s="10" t="s">
        <v>139</v>
      </c>
      <c r="N27" s="11">
        <v>39</v>
      </c>
    </row>
    <row r="28" spans="1:27" x14ac:dyDescent="0.25">
      <c r="M28" s="10" t="s">
        <v>140</v>
      </c>
      <c r="N28" s="11">
        <v>28</v>
      </c>
    </row>
    <row r="29" spans="1:27" x14ac:dyDescent="0.25">
      <c r="M29" s="10" t="s">
        <v>141</v>
      </c>
      <c r="N29" s="11">
        <v>37</v>
      </c>
    </row>
    <row r="30" spans="1:27" x14ac:dyDescent="0.25">
      <c r="M30" s="10" t="s">
        <v>142</v>
      </c>
      <c r="N30" s="11">
        <v>31</v>
      </c>
    </row>
  </sheetData>
  <mergeCells count="10">
    <mergeCell ref="W21:Z21"/>
    <mergeCell ref="W5:X5"/>
    <mergeCell ref="A6:B6"/>
    <mergeCell ref="C6:D6"/>
    <mergeCell ref="E6:F6"/>
    <mergeCell ref="G6:H6"/>
    <mergeCell ref="I6:J6"/>
    <mergeCell ref="U6:V6"/>
    <mergeCell ref="W6:X6"/>
    <mergeCell ref="Y6:Z6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30"/>
  <sheetViews>
    <sheetView zoomScaleNormal="100" zoomScaleSheetLayoutView="100" workbookViewId="0">
      <selection activeCell="K32" sqref="K32"/>
    </sheetView>
  </sheetViews>
  <sheetFormatPr baseColWidth="10" defaultColWidth="11.42578125" defaultRowHeight="15" x14ac:dyDescent="0.25"/>
  <cols>
    <col min="1" max="1" width="42.140625" customWidth="1"/>
    <col min="2" max="2" width="24.140625" customWidth="1"/>
    <col min="3" max="3" width="33.85546875" customWidth="1"/>
    <col min="4" max="4" width="17.140625" customWidth="1"/>
    <col min="5" max="5" width="22.42578125" customWidth="1"/>
    <col min="6" max="6" width="17" customWidth="1"/>
    <col min="7" max="8" width="20.28515625" customWidth="1"/>
    <col min="9" max="9" width="24" customWidth="1"/>
    <col min="10" max="10" width="18.28515625" customWidth="1"/>
    <col min="11" max="11" width="43.42578125" customWidth="1"/>
    <col min="12" max="12" width="20" customWidth="1"/>
    <col min="13" max="13" width="29.7109375" customWidth="1"/>
    <col min="14" max="14" width="16.5703125" customWidth="1"/>
    <col min="15" max="15" width="22.28515625" customWidth="1"/>
    <col min="16" max="16" width="15.28515625" customWidth="1"/>
    <col min="17" max="17" width="30.28515625" customWidth="1"/>
    <col min="18" max="18" width="15.5703125" customWidth="1"/>
    <col min="19" max="19" width="19.42578125" customWidth="1"/>
    <col min="20" max="20" width="17.7109375" customWidth="1"/>
    <col min="21" max="21" width="32" customWidth="1"/>
    <col min="22" max="22" width="15.28515625" customWidth="1"/>
    <col min="23" max="23" width="15.85546875" customWidth="1"/>
    <col min="24" max="24" width="16.28515625" customWidth="1"/>
  </cols>
  <sheetData>
    <row r="1" spans="1:24" x14ac:dyDescent="0.25">
      <c r="A1" s="3" t="s">
        <v>0</v>
      </c>
    </row>
    <row r="2" spans="1:24" ht="15.75" thickBot="1" x14ac:dyDescent="0.3"/>
    <row r="3" spans="1:24" ht="15.75" thickBot="1" x14ac:dyDescent="0.3">
      <c r="A3" s="2" t="s">
        <v>1</v>
      </c>
      <c r="B3" s="4">
        <v>0.1</v>
      </c>
      <c r="C3" s="2" t="s">
        <v>1</v>
      </c>
      <c r="D3" s="4">
        <v>0.4</v>
      </c>
      <c r="E3" s="2" t="s">
        <v>1</v>
      </c>
      <c r="F3" s="4">
        <v>0.25</v>
      </c>
      <c r="G3" s="2" t="s">
        <v>1</v>
      </c>
      <c r="H3" s="4" t="s">
        <v>2</v>
      </c>
      <c r="I3" s="2" t="s">
        <v>1</v>
      </c>
      <c r="J3" s="4">
        <v>1</v>
      </c>
      <c r="K3" s="2" t="s">
        <v>1</v>
      </c>
      <c r="L3" s="4" t="s">
        <v>2</v>
      </c>
      <c r="M3" s="2" t="s">
        <v>1</v>
      </c>
      <c r="N3" s="4">
        <v>0.25</v>
      </c>
      <c r="O3" s="2" t="s">
        <v>1</v>
      </c>
      <c r="P3" s="8" t="s">
        <v>2</v>
      </c>
      <c r="Q3" s="2" t="s">
        <v>1</v>
      </c>
      <c r="R3" s="4">
        <v>1</v>
      </c>
      <c r="S3" s="2" t="s">
        <v>1</v>
      </c>
      <c r="T3" s="8" t="s">
        <v>2</v>
      </c>
      <c r="U3" s="2" t="s">
        <v>1</v>
      </c>
      <c r="V3" s="8" t="s">
        <v>2</v>
      </c>
      <c r="W3" s="2" t="s">
        <v>1</v>
      </c>
      <c r="X3" s="8" t="s">
        <v>2</v>
      </c>
    </row>
    <row r="4" spans="1:24" ht="15.75" thickBot="1" x14ac:dyDescent="0.3">
      <c r="A4" s="1" t="s">
        <v>3</v>
      </c>
      <c r="B4" s="6">
        <v>0.15</v>
      </c>
    </row>
    <row r="5" spans="1:24" ht="15.75" thickBot="1" x14ac:dyDescent="0.3">
      <c r="A5" s="2" t="s">
        <v>4</v>
      </c>
      <c r="B5" s="7" t="s">
        <v>145</v>
      </c>
      <c r="C5" s="2" t="s">
        <v>4</v>
      </c>
      <c r="D5" s="7" t="s">
        <v>6</v>
      </c>
      <c r="E5" s="2" t="s">
        <v>4</v>
      </c>
      <c r="F5" s="7" t="s">
        <v>8</v>
      </c>
      <c r="G5" s="2" t="s">
        <v>4</v>
      </c>
      <c r="H5" s="7" t="s">
        <v>8</v>
      </c>
      <c r="I5" s="2" t="s">
        <v>4</v>
      </c>
      <c r="J5" s="7" t="s">
        <v>8</v>
      </c>
      <c r="K5" s="2" t="s">
        <v>9</v>
      </c>
      <c r="L5" s="7" t="s">
        <v>8</v>
      </c>
      <c r="M5" s="2" t="s">
        <v>4</v>
      </c>
      <c r="N5" s="7" t="s">
        <v>8</v>
      </c>
      <c r="O5" s="2" t="s">
        <v>11</v>
      </c>
      <c r="P5" s="7" t="s">
        <v>8</v>
      </c>
      <c r="Q5" s="2" t="s">
        <v>4</v>
      </c>
      <c r="R5" s="7" t="s">
        <v>8</v>
      </c>
      <c r="S5" s="2" t="s">
        <v>12</v>
      </c>
      <c r="T5" s="7" t="s">
        <v>8</v>
      </c>
      <c r="U5" s="2" t="s">
        <v>13</v>
      </c>
      <c r="V5" s="7" t="s">
        <v>8</v>
      </c>
      <c r="W5" s="101" t="s">
        <v>14</v>
      </c>
      <c r="X5" s="102"/>
    </row>
    <row r="6" spans="1:24" x14ac:dyDescent="0.25">
      <c r="A6" s="107" t="s">
        <v>15</v>
      </c>
      <c r="B6" s="107"/>
      <c r="C6" s="105" t="s">
        <v>16</v>
      </c>
      <c r="D6" s="105"/>
      <c r="E6" s="105" t="s">
        <v>17</v>
      </c>
      <c r="F6" s="105"/>
      <c r="G6" s="95" t="s">
        <v>18</v>
      </c>
      <c r="H6" s="95"/>
      <c r="I6" s="105" t="s">
        <v>19</v>
      </c>
      <c r="J6" s="105"/>
      <c r="K6" s="17" t="s">
        <v>20</v>
      </c>
      <c r="L6" s="17"/>
      <c r="M6" s="17" t="s">
        <v>153</v>
      </c>
      <c r="N6" s="17"/>
      <c r="O6" s="17" t="s">
        <v>22</v>
      </c>
      <c r="P6" s="17"/>
      <c r="Q6" s="17" t="s">
        <v>23</v>
      </c>
      <c r="R6" s="17"/>
      <c r="S6" s="17" t="s">
        <v>24</v>
      </c>
      <c r="T6" s="17"/>
      <c r="U6" s="95" t="s">
        <v>25</v>
      </c>
      <c r="V6" s="95"/>
      <c r="W6" s="95" t="s">
        <v>26</v>
      </c>
      <c r="X6" s="95"/>
    </row>
    <row r="7" spans="1:24" x14ac:dyDescent="0.25">
      <c r="A7" s="9" t="s">
        <v>28</v>
      </c>
      <c r="B7" s="9" t="s">
        <v>31</v>
      </c>
      <c r="C7" s="9" t="s">
        <v>28</v>
      </c>
      <c r="D7" s="9" t="s">
        <v>30</v>
      </c>
      <c r="E7" s="9" t="s">
        <v>28</v>
      </c>
      <c r="F7" s="9" t="s">
        <v>30</v>
      </c>
      <c r="G7" s="9" t="s">
        <v>28</v>
      </c>
      <c r="H7" s="12" t="s">
        <v>30</v>
      </c>
      <c r="I7" s="9" t="s">
        <v>28</v>
      </c>
      <c r="J7" s="9" t="s">
        <v>30</v>
      </c>
      <c r="K7" s="9" t="s">
        <v>28</v>
      </c>
      <c r="L7" s="9" t="s">
        <v>31</v>
      </c>
      <c r="M7" s="9" t="s">
        <v>28</v>
      </c>
      <c r="N7" s="9" t="s">
        <v>31</v>
      </c>
      <c r="O7" s="9" t="s">
        <v>28</v>
      </c>
      <c r="P7" s="9" t="s">
        <v>31</v>
      </c>
      <c r="Q7" s="9" t="s">
        <v>28</v>
      </c>
      <c r="R7" s="9" t="s">
        <v>31</v>
      </c>
      <c r="S7" s="9" t="s">
        <v>28</v>
      </c>
      <c r="T7" s="9" t="s">
        <v>31</v>
      </c>
      <c r="U7" s="9" t="s">
        <v>28</v>
      </c>
      <c r="V7" s="9" t="s">
        <v>31</v>
      </c>
      <c r="W7" s="9" t="s">
        <v>32</v>
      </c>
      <c r="X7" s="9" t="s">
        <v>33</v>
      </c>
    </row>
    <row r="8" spans="1:24" x14ac:dyDescent="0.25">
      <c r="A8" s="10" t="s">
        <v>36</v>
      </c>
      <c r="B8" s="14">
        <v>269.51</v>
      </c>
      <c r="C8" s="10" t="s">
        <v>37</v>
      </c>
      <c r="D8" s="11">
        <v>122</v>
      </c>
      <c r="E8" s="10" t="s">
        <v>38</v>
      </c>
      <c r="F8" s="11">
        <v>81</v>
      </c>
      <c r="G8" s="10" t="s">
        <v>39</v>
      </c>
      <c r="H8" s="13">
        <v>103.7</v>
      </c>
      <c r="I8" s="10" t="s">
        <v>40</v>
      </c>
      <c r="J8" s="11">
        <v>128.1</v>
      </c>
      <c r="K8" s="10" t="s">
        <v>41</v>
      </c>
      <c r="L8" s="11">
        <v>103.7</v>
      </c>
      <c r="M8" s="10" t="s">
        <v>42</v>
      </c>
      <c r="N8" s="11">
        <v>86.62</v>
      </c>
      <c r="O8" s="10" t="s">
        <v>42</v>
      </c>
      <c r="P8" s="11">
        <v>86.62</v>
      </c>
      <c r="Q8" s="10" t="s">
        <v>43</v>
      </c>
      <c r="R8" s="11">
        <v>90</v>
      </c>
      <c r="S8" s="10" t="s">
        <v>43</v>
      </c>
      <c r="T8" s="11">
        <v>97.6</v>
      </c>
      <c r="U8" s="10" t="s">
        <v>42</v>
      </c>
      <c r="V8" s="11">
        <v>86.62</v>
      </c>
      <c r="W8" s="10" t="s">
        <v>39</v>
      </c>
      <c r="X8" s="10">
        <v>122</v>
      </c>
    </row>
    <row r="9" spans="1:24" x14ac:dyDescent="0.25">
      <c r="A9" s="10" t="s">
        <v>45</v>
      </c>
      <c r="B9" s="14">
        <v>376.8</v>
      </c>
      <c r="C9" s="10" t="s">
        <v>46</v>
      </c>
      <c r="D9" s="11">
        <v>164.7</v>
      </c>
      <c r="E9" s="10" t="s">
        <v>47</v>
      </c>
      <c r="F9" s="11">
        <v>50</v>
      </c>
      <c r="G9" s="10" t="s">
        <v>48</v>
      </c>
      <c r="H9" s="13">
        <v>140.30000000000001</v>
      </c>
      <c r="I9" s="10" t="s">
        <v>49</v>
      </c>
      <c r="J9" s="11">
        <v>103.7</v>
      </c>
      <c r="K9" s="10" t="s">
        <v>50</v>
      </c>
      <c r="L9" s="11">
        <v>146.4</v>
      </c>
      <c r="M9" s="10" t="s">
        <v>51</v>
      </c>
      <c r="N9" s="11">
        <v>129.32</v>
      </c>
      <c r="O9" s="10" t="s">
        <v>51</v>
      </c>
      <c r="P9" s="11">
        <v>129.32</v>
      </c>
      <c r="Q9" s="10" t="s">
        <v>52</v>
      </c>
      <c r="R9" s="11">
        <v>90</v>
      </c>
      <c r="S9" s="10" t="s">
        <v>39</v>
      </c>
      <c r="T9" s="11">
        <v>73.2</v>
      </c>
      <c r="U9" s="10" t="s">
        <v>51</v>
      </c>
      <c r="V9" s="11">
        <v>129.32</v>
      </c>
      <c r="W9" s="10" t="s">
        <v>48</v>
      </c>
      <c r="X9" s="10">
        <v>146.4</v>
      </c>
    </row>
    <row r="10" spans="1:24" x14ac:dyDescent="0.25">
      <c r="A10" s="10" t="s">
        <v>54</v>
      </c>
      <c r="B10" s="14">
        <v>404.27</v>
      </c>
      <c r="C10" s="10" t="s">
        <v>54</v>
      </c>
      <c r="D10" s="11">
        <v>423.34</v>
      </c>
      <c r="E10" s="10" t="s">
        <v>55</v>
      </c>
      <c r="F10" s="11">
        <v>78</v>
      </c>
      <c r="G10" s="10" t="s">
        <v>56</v>
      </c>
      <c r="H10" s="13">
        <v>280.60000000000002</v>
      </c>
      <c r="I10" s="10" t="s">
        <v>57</v>
      </c>
      <c r="J10" s="11">
        <v>103.7</v>
      </c>
      <c r="K10" s="10" t="s">
        <v>58</v>
      </c>
      <c r="L10" s="11">
        <v>305</v>
      </c>
      <c r="M10" s="10" t="s">
        <v>59</v>
      </c>
      <c r="N10" s="11">
        <v>167.14</v>
      </c>
      <c r="O10" s="10" t="s">
        <v>59</v>
      </c>
      <c r="P10" s="11">
        <v>167.14</v>
      </c>
      <c r="Q10" s="10" t="s">
        <v>60</v>
      </c>
      <c r="R10" s="11">
        <v>100</v>
      </c>
      <c r="S10" s="10" t="s">
        <v>48</v>
      </c>
      <c r="T10" s="11">
        <v>85.4</v>
      </c>
      <c r="U10" s="10" t="s">
        <v>59</v>
      </c>
      <c r="V10" s="11">
        <v>167.14</v>
      </c>
      <c r="W10" s="10" t="s">
        <v>56</v>
      </c>
      <c r="X10" s="10">
        <v>427</v>
      </c>
    </row>
    <row r="11" spans="1:24" x14ac:dyDescent="0.25">
      <c r="A11" s="10" t="s">
        <v>62</v>
      </c>
      <c r="B11" s="14">
        <v>1348.88</v>
      </c>
      <c r="C11" s="10" t="s">
        <v>63</v>
      </c>
      <c r="D11" s="11">
        <v>927.2</v>
      </c>
      <c r="E11" s="10" t="s">
        <v>57</v>
      </c>
      <c r="F11" s="11">
        <v>100</v>
      </c>
      <c r="G11" s="10" t="s">
        <v>64</v>
      </c>
      <c r="H11" s="13">
        <v>225.7</v>
      </c>
      <c r="I11" s="10" t="s">
        <v>65</v>
      </c>
      <c r="J11" s="11">
        <v>115.9</v>
      </c>
      <c r="K11" s="10" t="s">
        <v>66</v>
      </c>
      <c r="L11" s="11">
        <v>829.6</v>
      </c>
      <c r="M11" s="10" t="s">
        <v>67</v>
      </c>
      <c r="N11" s="11">
        <v>86.62</v>
      </c>
      <c r="O11" s="10" t="s">
        <v>67</v>
      </c>
      <c r="P11" s="11">
        <v>86.62</v>
      </c>
      <c r="Q11" s="10" t="s">
        <v>56</v>
      </c>
      <c r="R11" s="11">
        <v>200</v>
      </c>
      <c r="S11" s="10" t="s">
        <v>56</v>
      </c>
      <c r="T11" s="11">
        <v>183</v>
      </c>
      <c r="U11" s="10" t="s">
        <v>67</v>
      </c>
      <c r="V11" s="11">
        <v>86.62</v>
      </c>
      <c r="W11" s="10" t="s">
        <v>68</v>
      </c>
      <c r="X11" s="10">
        <v>488</v>
      </c>
    </row>
    <row r="12" spans="1:24" x14ac:dyDescent="0.25">
      <c r="A12" s="10" t="s">
        <v>70</v>
      </c>
      <c r="B12" s="14">
        <v>1923.24</v>
      </c>
      <c r="C12" s="10" t="s">
        <v>71</v>
      </c>
      <c r="D12" s="11">
        <v>1549.4</v>
      </c>
      <c r="E12" s="10" t="s">
        <v>72</v>
      </c>
      <c r="F12" s="11">
        <v>180</v>
      </c>
      <c r="G12" s="10" t="s">
        <v>73</v>
      </c>
      <c r="H12" s="13">
        <v>622.20000000000005</v>
      </c>
      <c r="I12" s="10" t="s">
        <v>58</v>
      </c>
      <c r="J12" s="11">
        <v>244</v>
      </c>
      <c r="K12" s="10" t="s">
        <v>74</v>
      </c>
      <c r="L12" s="11">
        <v>1018.7</v>
      </c>
      <c r="M12" s="10" t="s">
        <v>75</v>
      </c>
      <c r="N12" s="11">
        <v>114.68</v>
      </c>
      <c r="O12" s="10" t="s">
        <v>75</v>
      </c>
      <c r="P12" s="11">
        <v>114.68</v>
      </c>
      <c r="Q12" s="10" t="s">
        <v>76</v>
      </c>
      <c r="R12" s="11">
        <v>180</v>
      </c>
      <c r="S12" s="10" t="s">
        <v>77</v>
      </c>
      <c r="T12" s="11">
        <v>610</v>
      </c>
      <c r="U12" s="10" t="s">
        <v>75</v>
      </c>
      <c r="V12" s="11">
        <v>114.68</v>
      </c>
      <c r="W12" s="10" t="s">
        <v>78</v>
      </c>
      <c r="X12" s="10">
        <v>1098</v>
      </c>
    </row>
    <row r="13" spans="1:24" x14ac:dyDescent="0.25">
      <c r="A13" s="10" t="s">
        <v>80</v>
      </c>
      <c r="B13" s="14">
        <v>172.7</v>
      </c>
      <c r="C13" s="18" t="s">
        <v>81</v>
      </c>
      <c r="D13" s="19">
        <v>3660</v>
      </c>
      <c r="E13" s="10" t="s">
        <v>82</v>
      </c>
      <c r="F13" s="11">
        <v>180</v>
      </c>
      <c r="G13" s="10" t="s">
        <v>83</v>
      </c>
      <c r="H13" s="13">
        <v>969.9</v>
      </c>
      <c r="I13" s="10" t="s">
        <v>84</v>
      </c>
      <c r="J13" s="11">
        <v>134.19999999999999</v>
      </c>
      <c r="K13" s="10" t="s">
        <v>40</v>
      </c>
      <c r="L13" s="11">
        <v>146.4</v>
      </c>
      <c r="M13" s="10" t="s">
        <v>85</v>
      </c>
      <c r="N13" s="11">
        <v>86.62</v>
      </c>
      <c r="O13" s="10" t="s">
        <v>85</v>
      </c>
      <c r="P13" s="11">
        <v>86.62</v>
      </c>
      <c r="Q13" s="10" t="s">
        <v>78</v>
      </c>
      <c r="R13" s="11">
        <v>445</v>
      </c>
      <c r="S13" s="10" t="s">
        <v>78</v>
      </c>
      <c r="T13" s="11">
        <v>366</v>
      </c>
      <c r="U13" s="10" t="s">
        <v>85</v>
      </c>
      <c r="V13" s="11">
        <v>86.62</v>
      </c>
      <c r="W13" s="10" t="s">
        <v>86</v>
      </c>
      <c r="X13" s="10">
        <v>1586</v>
      </c>
    </row>
    <row r="14" spans="1:24" x14ac:dyDescent="0.25">
      <c r="A14" s="10" t="s">
        <v>88</v>
      </c>
      <c r="B14" s="14">
        <v>345.4</v>
      </c>
      <c r="C14" s="10" t="s">
        <v>89</v>
      </c>
      <c r="D14" s="11">
        <v>214.72</v>
      </c>
      <c r="E14" s="10" t="s">
        <v>83</v>
      </c>
      <c r="F14" s="11">
        <v>550</v>
      </c>
      <c r="G14" s="10" t="s">
        <v>40</v>
      </c>
      <c r="H14" s="13">
        <v>176.9</v>
      </c>
      <c r="I14" s="10" t="s">
        <v>70</v>
      </c>
      <c r="J14" s="11">
        <v>976</v>
      </c>
      <c r="K14" s="10" t="s">
        <v>90</v>
      </c>
      <c r="L14" s="11">
        <v>134.19999999999999</v>
      </c>
      <c r="M14" s="10" t="s">
        <v>91</v>
      </c>
      <c r="N14" s="11">
        <v>1493.28</v>
      </c>
      <c r="O14" s="10" t="s">
        <v>91</v>
      </c>
      <c r="P14" s="11">
        <v>1493.28</v>
      </c>
      <c r="Q14" s="10" t="s">
        <v>77</v>
      </c>
      <c r="R14" s="11">
        <v>665</v>
      </c>
      <c r="S14" s="10" t="s">
        <v>40</v>
      </c>
      <c r="T14" s="11">
        <v>97.6</v>
      </c>
      <c r="U14" s="10" t="s">
        <v>91</v>
      </c>
      <c r="V14" s="11">
        <v>1493.28</v>
      </c>
      <c r="W14" s="10" t="s">
        <v>92</v>
      </c>
      <c r="X14" s="10">
        <v>128.1</v>
      </c>
    </row>
    <row r="15" spans="1:24" x14ac:dyDescent="0.25">
      <c r="A15" s="10" t="s">
        <v>94</v>
      </c>
      <c r="B15" s="14">
        <v>252.5</v>
      </c>
      <c r="C15" s="10" t="s">
        <v>95</v>
      </c>
      <c r="D15" s="11">
        <v>284.26</v>
      </c>
      <c r="E15" s="10" t="s">
        <v>70</v>
      </c>
      <c r="F15" s="11">
        <v>500</v>
      </c>
      <c r="G15" s="10" t="s">
        <v>96</v>
      </c>
      <c r="H15" s="13">
        <v>683.2</v>
      </c>
      <c r="I15" s="10" t="s">
        <v>97</v>
      </c>
      <c r="J15" s="11">
        <v>634.4</v>
      </c>
      <c r="K15" s="10" t="s">
        <v>98</v>
      </c>
      <c r="L15" s="11">
        <v>134.19999999999999</v>
      </c>
      <c r="M15" s="10" t="s">
        <v>99</v>
      </c>
      <c r="N15" s="11">
        <v>101.26</v>
      </c>
      <c r="O15" s="10" t="s">
        <v>99</v>
      </c>
      <c r="P15" s="11">
        <v>101.26</v>
      </c>
      <c r="Q15" s="10" t="s">
        <v>100</v>
      </c>
      <c r="R15" s="11">
        <v>85</v>
      </c>
      <c r="S15" s="10"/>
      <c r="T15" s="10"/>
      <c r="U15" s="10" t="s">
        <v>99</v>
      </c>
      <c r="V15" s="11">
        <v>101.26</v>
      </c>
      <c r="W15" s="10" t="s">
        <v>101</v>
      </c>
      <c r="X15" s="10">
        <v>213.5</v>
      </c>
    </row>
    <row r="16" spans="1:24" x14ac:dyDescent="0.25">
      <c r="A16" s="10" t="s">
        <v>103</v>
      </c>
      <c r="B16" s="14">
        <v>334.93</v>
      </c>
      <c r="C16" s="10" t="s">
        <v>104</v>
      </c>
      <c r="D16" s="11">
        <v>214.72</v>
      </c>
      <c r="E16" s="10"/>
      <c r="F16" s="10"/>
      <c r="G16" s="10" t="s">
        <v>43</v>
      </c>
      <c r="H16" s="13">
        <v>122</v>
      </c>
      <c r="I16" s="10" t="s">
        <v>106</v>
      </c>
      <c r="J16" s="11">
        <v>1024.8</v>
      </c>
      <c r="K16" s="10"/>
      <c r="L16" s="10"/>
      <c r="M16" s="10" t="s">
        <v>107</v>
      </c>
      <c r="N16" s="11">
        <v>86.62</v>
      </c>
      <c r="O16" s="10" t="s">
        <v>107</v>
      </c>
      <c r="P16" s="11">
        <v>86.62</v>
      </c>
      <c r="Q16" s="10" t="s">
        <v>108</v>
      </c>
      <c r="R16" s="11">
        <v>125</v>
      </c>
      <c r="S16" s="10"/>
      <c r="T16" s="10"/>
      <c r="U16" s="10" t="s">
        <v>107</v>
      </c>
      <c r="V16" s="11">
        <v>86.62</v>
      </c>
      <c r="W16" s="10" t="s">
        <v>109</v>
      </c>
      <c r="X16" s="10">
        <v>1037</v>
      </c>
    </row>
    <row r="17" spans="1:26" x14ac:dyDescent="0.25">
      <c r="A17" s="10" t="s">
        <v>147</v>
      </c>
      <c r="B17" s="14">
        <v>426.51</v>
      </c>
      <c r="C17" s="10" t="s">
        <v>111</v>
      </c>
      <c r="D17" s="11">
        <v>103.7</v>
      </c>
      <c r="E17" s="10"/>
      <c r="F17" s="10"/>
      <c r="G17" s="10"/>
      <c r="H17" s="10"/>
      <c r="I17" s="10" t="s">
        <v>112</v>
      </c>
      <c r="J17" s="11">
        <v>1207.8</v>
      </c>
      <c r="K17" s="10"/>
      <c r="L17" s="10"/>
      <c r="M17" s="10" t="s">
        <v>114</v>
      </c>
      <c r="N17" s="11">
        <v>212.28</v>
      </c>
      <c r="O17" s="10" t="s">
        <v>114</v>
      </c>
      <c r="P17" s="11">
        <v>212.28</v>
      </c>
      <c r="Q17" s="10" t="s">
        <v>115</v>
      </c>
      <c r="R17" s="11">
        <v>100</v>
      </c>
      <c r="S17" s="10"/>
      <c r="T17" s="10"/>
      <c r="U17" s="10" t="s">
        <v>114</v>
      </c>
      <c r="V17" s="11">
        <v>212.28</v>
      </c>
      <c r="W17" s="10" t="s">
        <v>104</v>
      </c>
      <c r="X17" s="10">
        <v>152.5</v>
      </c>
    </row>
    <row r="18" spans="1:26" x14ac:dyDescent="0.25">
      <c r="A18" s="10"/>
      <c r="B18" s="10"/>
      <c r="C18" s="10" t="s">
        <v>70</v>
      </c>
      <c r="D18" s="11">
        <v>1146.8</v>
      </c>
      <c r="E18" s="10"/>
      <c r="F18" s="10"/>
      <c r="G18" s="10"/>
      <c r="H18" s="10"/>
      <c r="I18" s="10" t="s">
        <v>117</v>
      </c>
      <c r="J18" s="11">
        <v>3416</v>
      </c>
      <c r="K18" s="10"/>
      <c r="L18" s="10"/>
      <c r="M18" s="10" t="s">
        <v>119</v>
      </c>
      <c r="N18" s="11">
        <v>668.56</v>
      </c>
      <c r="O18" s="10" t="s">
        <v>119</v>
      </c>
      <c r="P18" s="11">
        <v>668.56</v>
      </c>
      <c r="Q18" s="10" t="s">
        <v>70</v>
      </c>
      <c r="R18" s="11">
        <v>600</v>
      </c>
      <c r="S18" s="10"/>
      <c r="T18" s="10"/>
      <c r="U18" s="10" t="s">
        <v>119</v>
      </c>
      <c r="V18" s="11">
        <v>668.56</v>
      </c>
      <c r="W18" s="10" t="s">
        <v>120</v>
      </c>
      <c r="X18" s="10">
        <v>152.5</v>
      </c>
    </row>
    <row r="19" spans="1:26" x14ac:dyDescent="0.25">
      <c r="A19" s="10" t="s">
        <v>122</v>
      </c>
      <c r="B19" s="10"/>
      <c r="C19" s="10" t="s">
        <v>43</v>
      </c>
      <c r="D19" s="11">
        <v>152.5</v>
      </c>
      <c r="E19" s="10"/>
      <c r="F19" s="10"/>
      <c r="G19" s="10"/>
      <c r="H19" s="9"/>
      <c r="I19" s="10"/>
      <c r="J19" s="10"/>
      <c r="K19" s="10"/>
      <c r="L19" s="10"/>
      <c r="M19" s="10" t="s">
        <v>124</v>
      </c>
      <c r="N19" s="11">
        <v>334.28</v>
      </c>
      <c r="O19" s="10" t="s">
        <v>124</v>
      </c>
      <c r="P19" s="11">
        <v>334.28</v>
      </c>
      <c r="Q19" s="10"/>
      <c r="R19" s="10"/>
      <c r="S19" s="10"/>
      <c r="T19" s="10"/>
      <c r="U19" s="10" t="s">
        <v>124</v>
      </c>
      <c r="V19" s="11">
        <v>334.28</v>
      </c>
    </row>
    <row r="20" spans="1:26" x14ac:dyDescent="0.25">
      <c r="A20" s="10"/>
      <c r="B20" s="10"/>
      <c r="C20" s="20" t="s">
        <v>126</v>
      </c>
      <c r="D20" s="21">
        <v>1952</v>
      </c>
      <c r="E20" s="10"/>
      <c r="F20" s="10"/>
      <c r="G20" s="10"/>
      <c r="H20" s="10"/>
      <c r="I20" s="10"/>
      <c r="J20" s="10"/>
      <c r="K20" s="10"/>
      <c r="L20" s="10"/>
      <c r="M20" s="10" t="s">
        <v>127</v>
      </c>
      <c r="N20" s="11">
        <v>217.16</v>
      </c>
      <c r="O20" s="10" t="s">
        <v>127</v>
      </c>
      <c r="P20" s="11">
        <v>217.16</v>
      </c>
      <c r="Q20" s="10"/>
      <c r="R20" s="10"/>
      <c r="S20" s="10"/>
      <c r="T20" s="10"/>
      <c r="U20" s="10" t="s">
        <v>127</v>
      </c>
      <c r="V20" s="11">
        <v>217.16</v>
      </c>
      <c r="W20" t="s">
        <v>149</v>
      </c>
    </row>
    <row r="21" spans="1:26" x14ac:dyDescent="0.25">
      <c r="B21" s="10"/>
      <c r="C21" s="20" t="s">
        <v>129</v>
      </c>
      <c r="D21" s="21">
        <v>2196</v>
      </c>
      <c r="E21" s="10"/>
      <c r="F21" s="10"/>
      <c r="G21" s="10"/>
      <c r="H21" s="10"/>
      <c r="I21" s="10"/>
      <c r="J21" s="10"/>
      <c r="K21" s="10"/>
      <c r="L21" s="10"/>
      <c r="M21" s="10" t="s">
        <v>130</v>
      </c>
      <c r="N21" s="11">
        <v>1050.42</v>
      </c>
      <c r="O21" s="10" t="s">
        <v>130</v>
      </c>
      <c r="P21" s="11">
        <v>1050.42</v>
      </c>
      <c r="Q21" s="10"/>
      <c r="R21" s="10"/>
      <c r="S21" s="10"/>
      <c r="T21" s="10"/>
      <c r="U21" s="10" t="s">
        <v>130</v>
      </c>
      <c r="V21" s="11">
        <v>1050.42</v>
      </c>
      <c r="W21" s="96" t="s">
        <v>158</v>
      </c>
      <c r="X21" s="96"/>
      <c r="Y21" s="96"/>
      <c r="Z21" s="96"/>
    </row>
    <row r="22" spans="1:26" x14ac:dyDescent="0.25">
      <c r="A22" s="10"/>
      <c r="B22" s="10"/>
      <c r="C22" s="10" t="s">
        <v>131</v>
      </c>
      <c r="D22" s="11">
        <v>53.68</v>
      </c>
      <c r="E22" s="10"/>
      <c r="F22" s="10"/>
      <c r="G22" s="10"/>
      <c r="H22" s="10"/>
      <c r="I22" s="10"/>
      <c r="J22" s="10"/>
      <c r="K22" s="10"/>
      <c r="L22" s="10"/>
      <c r="M22" s="10" t="s">
        <v>132</v>
      </c>
      <c r="N22" s="11">
        <v>485.56</v>
      </c>
      <c r="O22" s="10" t="s">
        <v>132</v>
      </c>
      <c r="P22" s="11">
        <v>485.56</v>
      </c>
      <c r="Q22" s="10"/>
      <c r="R22" s="10"/>
      <c r="S22" s="10"/>
      <c r="T22" s="10"/>
      <c r="U22" s="10" t="s">
        <v>132</v>
      </c>
      <c r="V22" s="11">
        <v>485.56</v>
      </c>
      <c r="W22" t="s">
        <v>159</v>
      </c>
    </row>
    <row r="23" spans="1:26" x14ac:dyDescent="0.25">
      <c r="A23" s="10"/>
      <c r="B23" s="10"/>
      <c r="C23" s="10" t="s">
        <v>133</v>
      </c>
      <c r="D23" s="11">
        <v>103.7</v>
      </c>
      <c r="E23" s="10"/>
      <c r="F23" s="10"/>
      <c r="G23" s="10"/>
      <c r="H23" s="10"/>
      <c r="I23" s="10"/>
      <c r="J23" s="10"/>
      <c r="K23" s="10"/>
      <c r="L23" s="10"/>
      <c r="M23" s="10" t="s">
        <v>134</v>
      </c>
      <c r="N23" s="11">
        <v>114.68</v>
      </c>
      <c r="O23" s="10" t="s">
        <v>134</v>
      </c>
      <c r="P23" s="11">
        <v>114.68</v>
      </c>
      <c r="Q23" s="10"/>
      <c r="R23" s="10"/>
      <c r="S23" s="10"/>
      <c r="T23" s="10"/>
      <c r="U23" s="10" t="s">
        <v>134</v>
      </c>
      <c r="V23" s="11">
        <v>114.68</v>
      </c>
      <c r="W23" t="s">
        <v>160</v>
      </c>
    </row>
    <row r="24" spans="1:26" x14ac:dyDescent="0.25">
      <c r="A24" s="10"/>
      <c r="B24" s="10"/>
      <c r="C24" s="10" t="s">
        <v>135</v>
      </c>
      <c r="D24" s="11">
        <v>53.68</v>
      </c>
      <c r="E24" s="10"/>
      <c r="F24" s="10"/>
      <c r="G24" s="10"/>
      <c r="H24" s="10"/>
      <c r="I24" s="10"/>
      <c r="J24" s="10"/>
      <c r="K24" s="10"/>
      <c r="L24" s="10"/>
      <c r="M24" s="10" t="s">
        <v>111</v>
      </c>
      <c r="N24" s="11">
        <v>76.86</v>
      </c>
      <c r="O24" s="10" t="s">
        <v>111</v>
      </c>
      <c r="P24" s="11">
        <v>76.86</v>
      </c>
      <c r="Q24" s="10"/>
      <c r="R24" s="10"/>
      <c r="S24" s="10"/>
      <c r="T24" s="10"/>
      <c r="U24" s="10" t="s">
        <v>111</v>
      </c>
      <c r="V24" s="11">
        <v>76.86</v>
      </c>
    </row>
    <row r="25" spans="1:26" x14ac:dyDescent="0.25">
      <c r="A25" s="9" t="s">
        <v>156</v>
      </c>
      <c r="B25" s="10"/>
      <c r="C25" s="10" t="s">
        <v>136</v>
      </c>
      <c r="D25" s="11">
        <v>76.86</v>
      </c>
      <c r="E25" s="10"/>
      <c r="F25" s="10"/>
      <c r="G25" s="10"/>
      <c r="H25" s="10"/>
      <c r="I25" s="10"/>
      <c r="J25" s="10"/>
      <c r="K25" s="10"/>
      <c r="L25" s="10"/>
      <c r="M25" s="10" t="s">
        <v>70</v>
      </c>
      <c r="N25" s="11">
        <v>829.6</v>
      </c>
      <c r="O25" s="10" t="s">
        <v>70</v>
      </c>
      <c r="P25" s="11">
        <v>829.6</v>
      </c>
      <c r="Q25" s="10"/>
      <c r="R25" s="10"/>
      <c r="S25" s="10"/>
      <c r="T25" s="10"/>
      <c r="U25" s="10" t="s">
        <v>70</v>
      </c>
      <c r="V25" s="11">
        <v>829.6</v>
      </c>
    </row>
    <row r="26" spans="1:26" x14ac:dyDescent="0.25">
      <c r="C26" s="10" t="s">
        <v>137</v>
      </c>
      <c r="D26" s="11">
        <v>201.3</v>
      </c>
      <c r="M26" s="15" t="s">
        <v>138</v>
      </c>
      <c r="N26" s="16">
        <v>37</v>
      </c>
    </row>
    <row r="27" spans="1:26" x14ac:dyDescent="0.25">
      <c r="M27" s="15" t="s">
        <v>139</v>
      </c>
      <c r="N27" s="16">
        <v>39</v>
      </c>
    </row>
    <row r="28" spans="1:26" x14ac:dyDescent="0.25">
      <c r="M28" s="15" t="s">
        <v>140</v>
      </c>
      <c r="N28" s="16">
        <v>28</v>
      </c>
    </row>
    <row r="29" spans="1:26" x14ac:dyDescent="0.25">
      <c r="M29" s="15" t="s">
        <v>141</v>
      </c>
      <c r="N29" s="16">
        <v>37</v>
      </c>
    </row>
    <row r="30" spans="1:26" x14ac:dyDescent="0.25">
      <c r="M30" s="15" t="s">
        <v>142</v>
      </c>
      <c r="N30" s="16">
        <v>31</v>
      </c>
    </row>
  </sheetData>
  <mergeCells count="9">
    <mergeCell ref="W21:Z21"/>
    <mergeCell ref="W6:X6"/>
    <mergeCell ref="W5:X5"/>
    <mergeCell ref="A6:B6"/>
    <mergeCell ref="C6:D6"/>
    <mergeCell ref="E6:F6"/>
    <mergeCell ref="G6:H6"/>
    <mergeCell ref="I6:J6"/>
    <mergeCell ref="U6:V6"/>
  </mergeCells>
  <pageMargins left="0.25" right="0.25" top="0.75" bottom="0.75" header="0.3" footer="0.3"/>
  <pageSetup paperSize="9" fitToWidth="0" orientation="landscape" verticalDpi="0" r:id="rId1"/>
  <colBreaks count="3" manualBreakCount="3">
    <brk id="5" max="29" man="1"/>
    <brk id="10" max="29" man="1"/>
    <brk id="15" max="2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0"/>
  <sheetViews>
    <sheetView zoomScaleNormal="100" workbookViewId="0">
      <selection activeCell="G32" sqref="G32"/>
    </sheetView>
  </sheetViews>
  <sheetFormatPr baseColWidth="10" defaultColWidth="11.42578125" defaultRowHeight="15" x14ac:dyDescent="0.25"/>
  <cols>
    <col min="1" max="1" width="42.140625" customWidth="1"/>
    <col min="2" max="2" width="16.140625" customWidth="1"/>
    <col min="3" max="3" width="33.85546875" customWidth="1"/>
    <col min="4" max="4" width="17.140625" customWidth="1"/>
    <col min="5" max="5" width="22.42578125" customWidth="1"/>
    <col min="6" max="6" width="17" customWidth="1"/>
    <col min="7" max="8" width="20.28515625" customWidth="1"/>
    <col min="9" max="9" width="24" customWidth="1"/>
    <col min="10" max="10" width="18.28515625" customWidth="1"/>
    <col min="11" max="11" width="43.42578125" customWidth="1"/>
    <col min="12" max="12" width="20" customWidth="1"/>
    <col min="13" max="13" width="33.5703125" customWidth="1"/>
    <col min="14" max="14" width="17.85546875" customWidth="1"/>
    <col min="15" max="15" width="29.7109375" customWidth="1"/>
    <col min="16" max="16" width="16.5703125" customWidth="1"/>
    <col min="17" max="17" width="22.28515625" customWidth="1"/>
    <col min="18" max="18" width="15.28515625" customWidth="1"/>
    <col min="19" max="19" width="30.28515625" customWidth="1"/>
    <col min="20" max="20" width="15.5703125" customWidth="1"/>
    <col min="21" max="21" width="19.42578125" customWidth="1"/>
    <col min="22" max="22" width="17.7109375" customWidth="1"/>
  </cols>
  <sheetData>
    <row r="1" spans="1:22" x14ac:dyDescent="0.25">
      <c r="A1" s="3" t="s">
        <v>0</v>
      </c>
    </row>
    <row r="2" spans="1:22" ht="15.75" thickBot="1" x14ac:dyDescent="0.3"/>
    <row r="3" spans="1:22" ht="15.75" thickBot="1" x14ac:dyDescent="0.3">
      <c r="A3" s="2" t="s">
        <v>1</v>
      </c>
      <c r="B3" s="4">
        <v>0.1</v>
      </c>
      <c r="C3" s="2" t="s">
        <v>1</v>
      </c>
      <c r="D3" s="4">
        <v>0.4</v>
      </c>
      <c r="E3" s="2" t="s">
        <v>1</v>
      </c>
      <c r="F3" s="4">
        <v>0.25</v>
      </c>
      <c r="G3" s="2" t="s">
        <v>1</v>
      </c>
      <c r="H3" s="4" t="s">
        <v>2</v>
      </c>
      <c r="I3" s="2" t="s">
        <v>1</v>
      </c>
      <c r="J3" s="4">
        <v>1</v>
      </c>
      <c r="K3" s="2" t="s">
        <v>1</v>
      </c>
      <c r="L3" s="4" t="s">
        <v>2</v>
      </c>
      <c r="M3" s="2" t="s">
        <v>1</v>
      </c>
      <c r="N3" s="4">
        <v>0.25</v>
      </c>
      <c r="O3" s="2" t="s">
        <v>1</v>
      </c>
      <c r="P3" s="4">
        <v>0.25</v>
      </c>
      <c r="Q3" s="2" t="s">
        <v>1</v>
      </c>
      <c r="R3" s="8" t="s">
        <v>2</v>
      </c>
      <c r="S3" s="2" t="s">
        <v>1</v>
      </c>
      <c r="T3" s="4">
        <v>1</v>
      </c>
      <c r="U3" s="2" t="s">
        <v>1</v>
      </c>
      <c r="V3" s="8" t="s">
        <v>2</v>
      </c>
    </row>
    <row r="4" spans="1:22" ht="15.75" thickBot="1" x14ac:dyDescent="0.3">
      <c r="A4" s="1" t="s">
        <v>3</v>
      </c>
      <c r="B4" s="6">
        <v>0.15</v>
      </c>
    </row>
    <row r="5" spans="1:22" ht="15.75" thickBot="1" x14ac:dyDescent="0.3">
      <c r="A5" s="2" t="s">
        <v>4</v>
      </c>
      <c r="B5" s="7" t="s">
        <v>8</v>
      </c>
      <c r="C5" s="2" t="s">
        <v>4</v>
      </c>
      <c r="D5" s="7" t="s">
        <v>6</v>
      </c>
      <c r="E5" s="2" t="s">
        <v>4</v>
      </c>
      <c r="F5" s="7" t="s">
        <v>8</v>
      </c>
      <c r="G5" s="2" t="s">
        <v>4</v>
      </c>
      <c r="H5" s="7" t="s">
        <v>8</v>
      </c>
      <c r="I5" s="2" t="s">
        <v>4</v>
      </c>
      <c r="J5" s="7" t="s">
        <v>8</v>
      </c>
      <c r="K5" s="2" t="s">
        <v>9</v>
      </c>
      <c r="L5" s="7" t="s">
        <v>8</v>
      </c>
      <c r="M5" s="2" t="s">
        <v>4</v>
      </c>
      <c r="N5" s="7" t="s">
        <v>8</v>
      </c>
      <c r="O5" s="2" t="s">
        <v>4</v>
      </c>
      <c r="P5" s="7" t="s">
        <v>8</v>
      </c>
      <c r="Q5" s="2" t="s">
        <v>11</v>
      </c>
      <c r="R5" s="7" t="s">
        <v>8</v>
      </c>
      <c r="S5" s="2" t="s">
        <v>4</v>
      </c>
      <c r="T5" s="7" t="s">
        <v>8</v>
      </c>
      <c r="U5" s="2" t="s">
        <v>12</v>
      </c>
      <c r="V5" s="7" t="s">
        <v>8</v>
      </c>
    </row>
    <row r="6" spans="1:22" x14ac:dyDescent="0.25">
      <c r="A6" s="107" t="s">
        <v>15</v>
      </c>
      <c r="B6" s="107"/>
      <c r="C6" s="105" t="s">
        <v>16</v>
      </c>
      <c r="D6" s="105"/>
      <c r="E6" s="105" t="s">
        <v>17</v>
      </c>
      <c r="F6" s="105"/>
      <c r="G6" s="95" t="s">
        <v>161</v>
      </c>
      <c r="H6" s="95"/>
      <c r="I6" s="105" t="s">
        <v>19</v>
      </c>
      <c r="J6" s="105"/>
      <c r="K6" s="17" t="s">
        <v>20</v>
      </c>
      <c r="L6" s="17"/>
      <c r="M6" s="17" t="s">
        <v>162</v>
      </c>
      <c r="N6" s="17"/>
      <c r="O6" s="17" t="s">
        <v>153</v>
      </c>
      <c r="P6" s="17"/>
      <c r="Q6" s="17" t="s">
        <v>22</v>
      </c>
      <c r="R6" s="17"/>
      <c r="S6" s="17" t="s">
        <v>23</v>
      </c>
      <c r="T6" s="17"/>
      <c r="U6" s="17" t="s">
        <v>24</v>
      </c>
      <c r="V6" s="17"/>
    </row>
    <row r="7" spans="1:22" x14ac:dyDescent="0.25">
      <c r="A7" s="9" t="s">
        <v>28</v>
      </c>
      <c r="B7" s="9" t="s">
        <v>31</v>
      </c>
      <c r="C7" s="9" t="s">
        <v>28</v>
      </c>
      <c r="D7" s="9" t="s">
        <v>30</v>
      </c>
      <c r="E7" s="9" t="s">
        <v>28</v>
      </c>
      <c r="F7" s="9" t="s">
        <v>30</v>
      </c>
      <c r="G7" s="9" t="s">
        <v>28</v>
      </c>
      <c r="H7" s="12" t="s">
        <v>30</v>
      </c>
      <c r="I7" s="9" t="s">
        <v>28</v>
      </c>
      <c r="J7" s="9" t="s">
        <v>30</v>
      </c>
      <c r="K7" s="9" t="s">
        <v>28</v>
      </c>
      <c r="L7" s="9" t="s">
        <v>31</v>
      </c>
      <c r="M7" s="9" t="s">
        <v>28</v>
      </c>
      <c r="N7" s="9" t="s">
        <v>31</v>
      </c>
      <c r="O7" s="9" t="s">
        <v>28</v>
      </c>
      <c r="P7" s="9" t="s">
        <v>31</v>
      </c>
      <c r="Q7" s="9" t="s">
        <v>28</v>
      </c>
      <c r="R7" s="9" t="s">
        <v>31</v>
      </c>
      <c r="S7" s="9" t="s">
        <v>28</v>
      </c>
      <c r="T7" s="9" t="s">
        <v>31</v>
      </c>
      <c r="U7" s="9" t="s">
        <v>28</v>
      </c>
      <c r="V7" s="9" t="s">
        <v>31</v>
      </c>
    </row>
    <row r="8" spans="1:22" x14ac:dyDescent="0.25">
      <c r="A8" s="10" t="s">
        <v>36</v>
      </c>
      <c r="B8" s="11">
        <v>251.32</v>
      </c>
      <c r="C8" s="10" t="s">
        <v>37</v>
      </c>
      <c r="D8" s="11">
        <v>122</v>
      </c>
      <c r="E8" s="10" t="s">
        <v>38</v>
      </c>
      <c r="F8" s="11">
        <v>81</v>
      </c>
      <c r="G8" s="10" t="s">
        <v>39</v>
      </c>
      <c r="H8" s="13">
        <v>103.7</v>
      </c>
      <c r="I8" s="10" t="s">
        <v>40</v>
      </c>
      <c r="J8" s="14">
        <v>128.1</v>
      </c>
      <c r="K8" s="10" t="s">
        <v>41</v>
      </c>
      <c r="L8" s="11">
        <v>103.7</v>
      </c>
      <c r="M8" s="10" t="s">
        <v>163</v>
      </c>
      <c r="N8" s="11">
        <v>139</v>
      </c>
      <c r="O8" s="10" t="s">
        <v>42</v>
      </c>
      <c r="P8" s="11">
        <v>86.62</v>
      </c>
      <c r="Q8" s="10" t="s">
        <v>42</v>
      </c>
      <c r="R8" s="11">
        <v>86.62</v>
      </c>
      <c r="S8" s="10" t="s">
        <v>43</v>
      </c>
      <c r="T8" s="11">
        <v>90</v>
      </c>
      <c r="U8" s="10" t="s">
        <v>43</v>
      </c>
      <c r="V8" s="11">
        <v>97.6</v>
      </c>
    </row>
    <row r="9" spans="1:22" x14ac:dyDescent="0.25">
      <c r="A9" s="10" t="s">
        <v>45</v>
      </c>
      <c r="B9" s="11">
        <v>351.36</v>
      </c>
      <c r="C9" s="10" t="s">
        <v>46</v>
      </c>
      <c r="D9" s="11">
        <v>164.7</v>
      </c>
      <c r="E9" s="10" t="s">
        <v>47</v>
      </c>
      <c r="F9" s="11">
        <v>50</v>
      </c>
      <c r="G9" s="10" t="s">
        <v>48</v>
      </c>
      <c r="H9" s="13">
        <v>140.30000000000001</v>
      </c>
      <c r="I9" s="10" t="s">
        <v>49</v>
      </c>
      <c r="J9" s="14">
        <v>103.7</v>
      </c>
      <c r="K9" s="10" t="s">
        <v>50</v>
      </c>
      <c r="L9" s="11">
        <v>146.4</v>
      </c>
      <c r="M9" s="10" t="s">
        <v>164</v>
      </c>
      <c r="N9" s="11">
        <v>139</v>
      </c>
      <c r="O9" s="10" t="s">
        <v>51</v>
      </c>
      <c r="P9" s="11">
        <v>129.32</v>
      </c>
      <c r="Q9" s="10" t="s">
        <v>51</v>
      </c>
      <c r="R9" s="11">
        <v>129.32</v>
      </c>
      <c r="S9" s="10" t="s">
        <v>52</v>
      </c>
      <c r="T9" s="11">
        <v>90</v>
      </c>
      <c r="U9" s="10" t="s">
        <v>39</v>
      </c>
      <c r="V9" s="11">
        <v>73.2</v>
      </c>
    </row>
    <row r="10" spans="1:22" x14ac:dyDescent="0.25">
      <c r="A10" s="10" t="s">
        <v>54</v>
      </c>
      <c r="B10" s="11">
        <v>376.98</v>
      </c>
      <c r="C10" s="10" t="s">
        <v>54</v>
      </c>
      <c r="D10" s="11">
        <v>423.34</v>
      </c>
      <c r="E10" s="10" t="s">
        <v>55</v>
      </c>
      <c r="F10" s="11">
        <v>78</v>
      </c>
      <c r="G10" s="10" t="s">
        <v>56</v>
      </c>
      <c r="H10" s="13">
        <v>280.60000000000002</v>
      </c>
      <c r="I10" s="10" t="s">
        <v>57</v>
      </c>
      <c r="J10" s="14">
        <v>103.7</v>
      </c>
      <c r="K10" s="10" t="s">
        <v>58</v>
      </c>
      <c r="L10" s="11">
        <v>305</v>
      </c>
      <c r="M10" s="10" t="s">
        <v>70</v>
      </c>
      <c r="N10" s="11">
        <v>841</v>
      </c>
      <c r="O10" s="10" t="s">
        <v>59</v>
      </c>
      <c r="P10" s="11">
        <v>167.14</v>
      </c>
      <c r="Q10" s="10" t="s">
        <v>59</v>
      </c>
      <c r="R10" s="11">
        <v>167.14</v>
      </c>
      <c r="S10" s="10" t="s">
        <v>60</v>
      </c>
      <c r="T10" s="11">
        <v>100</v>
      </c>
      <c r="U10" s="10" t="s">
        <v>48</v>
      </c>
      <c r="V10" s="11">
        <v>85.4</v>
      </c>
    </row>
    <row r="11" spans="1:22" x14ac:dyDescent="0.25">
      <c r="A11" s="10" t="s">
        <v>62</v>
      </c>
      <c r="B11" s="11">
        <v>1257.82</v>
      </c>
      <c r="C11" s="10" t="s">
        <v>63</v>
      </c>
      <c r="D11" s="11">
        <v>927.2</v>
      </c>
      <c r="E11" s="10" t="s">
        <v>57</v>
      </c>
      <c r="F11" s="11">
        <v>100</v>
      </c>
      <c r="G11" s="10" t="s">
        <v>64</v>
      </c>
      <c r="H11" s="13">
        <v>225.7</v>
      </c>
      <c r="I11" s="10" t="s">
        <v>65</v>
      </c>
      <c r="J11" s="14">
        <v>115.9</v>
      </c>
      <c r="K11" s="10" t="s">
        <v>66</v>
      </c>
      <c r="L11" s="11">
        <v>829.6</v>
      </c>
      <c r="M11" s="10" t="s">
        <v>94</v>
      </c>
      <c r="N11" s="11">
        <v>110</v>
      </c>
      <c r="O11" s="10" t="s">
        <v>67</v>
      </c>
      <c r="P11" s="11">
        <v>86.62</v>
      </c>
      <c r="Q11" s="10" t="s">
        <v>67</v>
      </c>
      <c r="R11" s="11">
        <v>86.62</v>
      </c>
      <c r="S11" s="10" t="s">
        <v>56</v>
      </c>
      <c r="T11" s="11">
        <v>200</v>
      </c>
      <c r="U11" s="10" t="s">
        <v>56</v>
      </c>
      <c r="V11" s="11">
        <v>183</v>
      </c>
    </row>
    <row r="12" spans="1:22" x14ac:dyDescent="0.25">
      <c r="A12" s="10" t="s">
        <v>70</v>
      </c>
      <c r="B12" s="11">
        <v>1793.4</v>
      </c>
      <c r="C12" s="10" t="s">
        <v>71</v>
      </c>
      <c r="D12" s="11">
        <v>1549.4</v>
      </c>
      <c r="E12" s="10" t="s">
        <v>72</v>
      </c>
      <c r="F12" s="11">
        <v>180</v>
      </c>
      <c r="G12" s="10" t="s">
        <v>73</v>
      </c>
      <c r="H12" s="13">
        <v>622.20000000000005</v>
      </c>
      <c r="I12" s="10" t="s">
        <v>58</v>
      </c>
      <c r="J12" s="14">
        <v>244</v>
      </c>
      <c r="K12" s="10" t="s">
        <v>74</v>
      </c>
      <c r="L12" s="11">
        <v>1018.7</v>
      </c>
      <c r="M12" s="10" t="s">
        <v>165</v>
      </c>
      <c r="N12" s="11">
        <v>131</v>
      </c>
      <c r="O12" s="10" t="s">
        <v>75</v>
      </c>
      <c r="P12" s="11">
        <v>114.68</v>
      </c>
      <c r="Q12" s="10" t="s">
        <v>75</v>
      </c>
      <c r="R12" s="11">
        <v>114.68</v>
      </c>
      <c r="S12" s="10" t="s">
        <v>76</v>
      </c>
      <c r="T12" s="11">
        <v>180</v>
      </c>
      <c r="U12" s="10" t="s">
        <v>77</v>
      </c>
      <c r="V12" s="11">
        <v>610</v>
      </c>
    </row>
    <row r="13" spans="1:22" x14ac:dyDescent="0.25">
      <c r="A13" s="10" t="s">
        <v>80</v>
      </c>
      <c r="B13" s="11">
        <v>161.04</v>
      </c>
      <c r="C13" s="18" t="s">
        <v>81</v>
      </c>
      <c r="D13" s="19">
        <v>3660</v>
      </c>
      <c r="E13" s="10" t="s">
        <v>82</v>
      </c>
      <c r="F13" s="11">
        <v>180</v>
      </c>
      <c r="G13" s="10" t="s">
        <v>83</v>
      </c>
      <c r="H13" s="13">
        <v>969.9</v>
      </c>
      <c r="I13" s="10" t="s">
        <v>84</v>
      </c>
      <c r="J13" s="14">
        <v>134.19999999999999</v>
      </c>
      <c r="K13" s="10" t="s">
        <v>40</v>
      </c>
      <c r="L13" s="11">
        <v>146.4</v>
      </c>
      <c r="M13" s="10" t="s">
        <v>166</v>
      </c>
      <c r="N13" s="11">
        <v>155</v>
      </c>
      <c r="O13" s="10" t="s">
        <v>85</v>
      </c>
      <c r="P13" s="11">
        <v>86.62</v>
      </c>
      <c r="Q13" s="10" t="s">
        <v>85</v>
      </c>
      <c r="R13" s="11">
        <v>86.62</v>
      </c>
      <c r="S13" s="10" t="s">
        <v>78</v>
      </c>
      <c r="T13" s="11">
        <v>445</v>
      </c>
      <c r="U13" s="10" t="s">
        <v>78</v>
      </c>
      <c r="V13" s="11">
        <v>366</v>
      </c>
    </row>
    <row r="14" spans="1:22" x14ac:dyDescent="0.25">
      <c r="A14" s="10" t="s">
        <v>88</v>
      </c>
      <c r="B14" s="11">
        <v>322.08</v>
      </c>
      <c r="C14" s="10" t="s">
        <v>89</v>
      </c>
      <c r="D14" s="11">
        <v>214.72</v>
      </c>
      <c r="E14" s="10" t="s">
        <v>83</v>
      </c>
      <c r="F14" s="11">
        <v>550</v>
      </c>
      <c r="G14" s="10" t="s">
        <v>40</v>
      </c>
      <c r="H14" s="13">
        <v>176.9</v>
      </c>
      <c r="I14" s="10" t="s">
        <v>70</v>
      </c>
      <c r="J14" s="14">
        <v>976</v>
      </c>
      <c r="K14" s="10" t="s">
        <v>90</v>
      </c>
      <c r="L14" s="11">
        <v>134.19999999999999</v>
      </c>
      <c r="M14" s="10" t="s">
        <v>167</v>
      </c>
      <c r="N14" s="11">
        <v>108</v>
      </c>
      <c r="O14" s="10" t="s">
        <v>91</v>
      </c>
      <c r="P14" s="11">
        <v>1493.28</v>
      </c>
      <c r="Q14" s="10" t="s">
        <v>91</v>
      </c>
      <c r="R14" s="11">
        <v>1493.28</v>
      </c>
      <c r="S14" s="10" t="s">
        <v>77</v>
      </c>
      <c r="T14" s="11">
        <v>665</v>
      </c>
      <c r="U14" s="10" t="s">
        <v>40</v>
      </c>
      <c r="V14" s="11">
        <v>97.6</v>
      </c>
    </row>
    <row r="15" spans="1:22" x14ac:dyDescent="0.25">
      <c r="A15" s="10" t="s">
        <v>94</v>
      </c>
      <c r="B15" s="11">
        <v>235.46</v>
      </c>
      <c r="C15" s="10" t="s">
        <v>95</v>
      </c>
      <c r="D15" s="11">
        <v>284.26</v>
      </c>
      <c r="E15" s="10" t="s">
        <v>70</v>
      </c>
      <c r="F15" s="11">
        <v>500</v>
      </c>
      <c r="G15" s="10" t="s">
        <v>96</v>
      </c>
      <c r="H15" s="13">
        <v>683.2</v>
      </c>
      <c r="I15" s="10" t="s">
        <v>97</v>
      </c>
      <c r="J15" s="14">
        <v>634.4</v>
      </c>
      <c r="K15" s="10" t="s">
        <v>98</v>
      </c>
      <c r="L15" s="11">
        <v>134.19999999999999</v>
      </c>
      <c r="M15" s="10" t="s">
        <v>48</v>
      </c>
      <c r="N15" s="11">
        <v>125</v>
      </c>
      <c r="O15" s="10" t="s">
        <v>99</v>
      </c>
      <c r="P15" s="11">
        <v>101.26</v>
      </c>
      <c r="Q15" s="10" t="s">
        <v>99</v>
      </c>
      <c r="R15" s="11">
        <v>101.26</v>
      </c>
      <c r="S15" s="10" t="s">
        <v>100</v>
      </c>
      <c r="T15" s="11">
        <v>85</v>
      </c>
      <c r="U15" s="10"/>
      <c r="V15" s="10"/>
    </row>
    <row r="16" spans="1:22" x14ac:dyDescent="0.25">
      <c r="A16" s="10" t="s">
        <v>103</v>
      </c>
      <c r="B16" s="11">
        <v>312.32</v>
      </c>
      <c r="C16" s="10" t="s">
        <v>104</v>
      </c>
      <c r="D16" s="11">
        <v>214.72</v>
      </c>
      <c r="E16" s="10"/>
      <c r="F16" s="10"/>
      <c r="G16" s="10" t="s">
        <v>43</v>
      </c>
      <c r="H16" s="13">
        <v>122</v>
      </c>
      <c r="I16" s="10" t="s">
        <v>106</v>
      </c>
      <c r="J16" s="14">
        <v>1024.8</v>
      </c>
      <c r="K16" s="10"/>
      <c r="L16" s="10"/>
      <c r="M16" s="10" t="s">
        <v>56</v>
      </c>
      <c r="N16" s="11">
        <v>265</v>
      </c>
      <c r="O16" s="10" t="s">
        <v>107</v>
      </c>
      <c r="P16" s="11">
        <v>86.62</v>
      </c>
      <c r="Q16" s="10" t="s">
        <v>107</v>
      </c>
      <c r="R16" s="11">
        <v>86.62</v>
      </c>
      <c r="S16" s="10" t="s">
        <v>108</v>
      </c>
      <c r="T16" s="11">
        <v>125</v>
      </c>
      <c r="U16" s="10"/>
      <c r="V16" s="10"/>
    </row>
    <row r="17" spans="1:22" x14ac:dyDescent="0.25">
      <c r="A17" s="10" t="s">
        <v>147</v>
      </c>
      <c r="B17" s="11">
        <v>397.72</v>
      </c>
      <c r="C17" s="10" t="s">
        <v>111</v>
      </c>
      <c r="D17" s="11">
        <v>103.7</v>
      </c>
      <c r="E17" s="10"/>
      <c r="F17" s="10"/>
      <c r="G17" s="10"/>
      <c r="H17" s="10"/>
      <c r="I17" s="10" t="s">
        <v>112</v>
      </c>
      <c r="J17" s="14">
        <v>1207.8</v>
      </c>
      <c r="K17" s="10"/>
      <c r="L17" s="10"/>
      <c r="M17" s="10" t="s">
        <v>168</v>
      </c>
      <c r="N17" s="11">
        <v>327</v>
      </c>
      <c r="O17" s="10" t="s">
        <v>114</v>
      </c>
      <c r="P17" s="11">
        <v>212.28</v>
      </c>
      <c r="Q17" s="10" t="s">
        <v>114</v>
      </c>
      <c r="R17" s="11">
        <v>212.28</v>
      </c>
      <c r="S17" s="10" t="s">
        <v>115</v>
      </c>
      <c r="T17" s="11">
        <v>100</v>
      </c>
      <c r="U17" s="10"/>
      <c r="V17" s="10"/>
    </row>
    <row r="18" spans="1:22" x14ac:dyDescent="0.25">
      <c r="A18" s="10"/>
      <c r="B18" s="10"/>
      <c r="C18" s="10" t="s">
        <v>70</v>
      </c>
      <c r="D18" s="11">
        <v>1146.8</v>
      </c>
      <c r="E18" s="10"/>
      <c r="F18" s="10"/>
      <c r="G18" s="10"/>
      <c r="H18" s="10"/>
      <c r="I18" s="10" t="s">
        <v>117</v>
      </c>
      <c r="J18" s="11">
        <v>3416</v>
      </c>
      <c r="K18" s="10"/>
      <c r="L18" s="10"/>
      <c r="M18" s="10" t="s">
        <v>169</v>
      </c>
      <c r="N18" s="11">
        <v>248</v>
      </c>
      <c r="O18" s="10" t="s">
        <v>119</v>
      </c>
      <c r="P18" s="11">
        <v>668.56</v>
      </c>
      <c r="Q18" s="10" t="s">
        <v>119</v>
      </c>
      <c r="R18" s="11">
        <v>668.56</v>
      </c>
      <c r="S18" s="10" t="s">
        <v>70</v>
      </c>
      <c r="T18" s="11">
        <v>600</v>
      </c>
      <c r="U18" s="10"/>
      <c r="V18" s="10"/>
    </row>
    <row r="19" spans="1:22" x14ac:dyDescent="0.25">
      <c r="A19" s="10" t="s">
        <v>122</v>
      </c>
      <c r="B19" s="10"/>
      <c r="C19" s="10" t="s">
        <v>43</v>
      </c>
      <c r="D19" s="11">
        <v>152.5</v>
      </c>
      <c r="E19" s="10"/>
      <c r="F19" s="10"/>
      <c r="G19" s="10"/>
      <c r="H19" s="9"/>
      <c r="I19" s="10"/>
      <c r="J19" s="10"/>
      <c r="K19" s="10"/>
      <c r="L19" s="10"/>
      <c r="M19" s="10" t="s">
        <v>170</v>
      </c>
      <c r="N19" s="11">
        <v>650</v>
      </c>
      <c r="O19" s="10" t="s">
        <v>124</v>
      </c>
      <c r="P19" s="11">
        <v>334.28</v>
      </c>
      <c r="Q19" s="10" t="s">
        <v>124</v>
      </c>
      <c r="R19" s="11">
        <v>334.28</v>
      </c>
      <c r="S19" s="10"/>
      <c r="T19" s="10"/>
      <c r="U19" s="10"/>
      <c r="V19" s="10"/>
    </row>
    <row r="20" spans="1:22" x14ac:dyDescent="0.25">
      <c r="A20" s="10"/>
      <c r="B20" s="10"/>
      <c r="C20" s="20" t="s">
        <v>126</v>
      </c>
      <c r="D20" s="21">
        <v>1952</v>
      </c>
      <c r="E20" s="10"/>
      <c r="F20" s="10"/>
      <c r="G20" s="10"/>
      <c r="H20" s="10"/>
      <c r="I20" s="10"/>
      <c r="J20" s="10"/>
      <c r="K20" s="10"/>
      <c r="L20" s="10"/>
      <c r="M20" s="10" t="s">
        <v>171</v>
      </c>
      <c r="N20" s="11">
        <v>780</v>
      </c>
      <c r="O20" s="10" t="s">
        <v>127</v>
      </c>
      <c r="P20" s="11">
        <v>217.16</v>
      </c>
      <c r="Q20" s="10" t="s">
        <v>127</v>
      </c>
      <c r="R20" s="11">
        <v>217.16</v>
      </c>
      <c r="S20" s="10"/>
      <c r="T20" s="10"/>
      <c r="U20" s="10"/>
      <c r="V20" s="10"/>
    </row>
    <row r="21" spans="1:22" x14ac:dyDescent="0.25">
      <c r="A21" s="10"/>
      <c r="B21" s="10"/>
      <c r="C21" s="20" t="s">
        <v>129</v>
      </c>
      <c r="D21" s="21">
        <v>2196</v>
      </c>
      <c r="E21" s="10"/>
      <c r="F21" s="10"/>
      <c r="G21" s="10"/>
      <c r="H21" s="10"/>
      <c r="I21" s="10"/>
      <c r="J21" s="10"/>
      <c r="K21" s="10"/>
      <c r="L21" s="10"/>
      <c r="M21" s="15" t="s">
        <v>172</v>
      </c>
      <c r="N21" s="16">
        <v>37</v>
      </c>
      <c r="O21" s="10" t="s">
        <v>130</v>
      </c>
      <c r="P21" s="11">
        <v>1050.42</v>
      </c>
      <c r="Q21" s="10" t="s">
        <v>130</v>
      </c>
      <c r="R21" s="11">
        <v>1050.42</v>
      </c>
      <c r="S21" s="10"/>
      <c r="T21" s="10"/>
      <c r="U21" s="10"/>
      <c r="V21" s="10"/>
    </row>
    <row r="22" spans="1:22" x14ac:dyDescent="0.25">
      <c r="A22" s="10"/>
      <c r="B22" s="10"/>
      <c r="C22" s="15" t="s">
        <v>131</v>
      </c>
      <c r="D22" s="16">
        <v>53.68</v>
      </c>
      <c r="E22" s="10"/>
      <c r="F22" s="10"/>
      <c r="G22" s="10"/>
      <c r="H22" s="10"/>
      <c r="I22" s="10"/>
      <c r="J22" s="10"/>
      <c r="K22" s="10"/>
      <c r="L22" s="10"/>
      <c r="M22" s="15" t="s">
        <v>173</v>
      </c>
      <c r="N22" s="16">
        <v>48</v>
      </c>
      <c r="O22" s="10" t="s">
        <v>132</v>
      </c>
      <c r="P22" s="11">
        <v>485.56</v>
      </c>
      <c r="Q22" s="10" t="s">
        <v>132</v>
      </c>
      <c r="R22" s="11">
        <v>485.56</v>
      </c>
      <c r="S22" s="10"/>
      <c r="T22" s="10"/>
      <c r="U22" s="10"/>
      <c r="V22" s="10"/>
    </row>
    <row r="23" spans="1:22" x14ac:dyDescent="0.25">
      <c r="A23" s="10"/>
      <c r="B23" s="10"/>
      <c r="C23" s="15" t="s">
        <v>133</v>
      </c>
      <c r="D23" s="16">
        <v>103.7</v>
      </c>
      <c r="E23" s="10"/>
      <c r="F23" s="10"/>
      <c r="G23" s="10"/>
      <c r="H23" s="10"/>
      <c r="I23" s="10"/>
      <c r="J23" s="10"/>
      <c r="K23" s="10"/>
      <c r="L23" s="10"/>
      <c r="M23" s="15" t="s">
        <v>174</v>
      </c>
      <c r="N23" s="16">
        <v>57</v>
      </c>
      <c r="O23" s="10" t="s">
        <v>134</v>
      </c>
      <c r="P23" s="11">
        <v>114.68</v>
      </c>
      <c r="Q23" s="10" t="s">
        <v>134</v>
      </c>
      <c r="R23" s="11">
        <v>114.68</v>
      </c>
      <c r="S23" s="10"/>
      <c r="T23" s="10"/>
      <c r="U23" s="10"/>
      <c r="V23" s="10"/>
    </row>
    <row r="24" spans="1:22" x14ac:dyDescent="0.25">
      <c r="A24" s="10"/>
      <c r="B24" s="10"/>
      <c r="C24" s="15" t="s">
        <v>135</v>
      </c>
      <c r="D24" s="16">
        <v>53.68</v>
      </c>
      <c r="E24" s="10"/>
      <c r="F24" s="10"/>
      <c r="G24" s="10"/>
      <c r="H24" s="10"/>
      <c r="I24" s="10"/>
      <c r="J24" s="10"/>
      <c r="K24" s="10"/>
      <c r="L24" s="10"/>
      <c r="M24" s="15" t="s">
        <v>175</v>
      </c>
      <c r="N24" s="16">
        <v>80</v>
      </c>
      <c r="O24" s="10" t="s">
        <v>111</v>
      </c>
      <c r="P24" s="11">
        <v>76.86</v>
      </c>
      <c r="Q24" s="10" t="s">
        <v>111</v>
      </c>
      <c r="R24" s="11">
        <v>76.86</v>
      </c>
      <c r="S24" s="10"/>
      <c r="T24" s="10"/>
      <c r="U24" s="10"/>
      <c r="V24" s="10"/>
    </row>
    <row r="25" spans="1:22" x14ac:dyDescent="0.25">
      <c r="A25" s="10"/>
      <c r="B25" s="10"/>
      <c r="C25" s="15" t="s">
        <v>136</v>
      </c>
      <c r="D25" s="16">
        <v>76.86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 t="s">
        <v>70</v>
      </c>
      <c r="P25" s="11">
        <v>829.6</v>
      </c>
      <c r="Q25" s="10" t="s">
        <v>70</v>
      </c>
      <c r="R25" s="11">
        <v>829.6</v>
      </c>
      <c r="S25" s="10"/>
      <c r="T25" s="10"/>
      <c r="U25" s="10"/>
      <c r="V25" s="10"/>
    </row>
    <row r="26" spans="1:22" x14ac:dyDescent="0.25">
      <c r="C26" s="15" t="s">
        <v>137</v>
      </c>
      <c r="D26" s="16">
        <v>201.3</v>
      </c>
      <c r="O26" s="15" t="s">
        <v>138</v>
      </c>
      <c r="P26" s="16">
        <v>37</v>
      </c>
    </row>
    <row r="27" spans="1:22" x14ac:dyDescent="0.25">
      <c r="O27" s="15" t="s">
        <v>139</v>
      </c>
      <c r="P27" s="16">
        <v>39</v>
      </c>
    </row>
    <row r="28" spans="1:22" x14ac:dyDescent="0.25">
      <c r="O28" s="15" t="s">
        <v>140</v>
      </c>
      <c r="P28" s="16">
        <v>28</v>
      </c>
    </row>
    <row r="29" spans="1:22" x14ac:dyDescent="0.25">
      <c r="O29" s="15" t="s">
        <v>141</v>
      </c>
      <c r="P29" s="16">
        <v>37</v>
      </c>
    </row>
    <row r="30" spans="1:22" x14ac:dyDescent="0.25">
      <c r="O30" s="15" t="s">
        <v>142</v>
      </c>
      <c r="P30" s="16">
        <v>31</v>
      </c>
    </row>
  </sheetData>
  <mergeCells count="5">
    <mergeCell ref="A6:B6"/>
    <mergeCell ref="C6:D6"/>
    <mergeCell ref="E6:F6"/>
    <mergeCell ref="G6:H6"/>
    <mergeCell ref="I6:J6"/>
  </mergeCells>
  <pageMargins left="0.7" right="0.7" top="0.75" bottom="0.75" header="0.3" footer="0.3"/>
  <pageSetup paperSize="9" scale="88" orientation="landscape" verticalDpi="0" r:id="rId1"/>
  <colBreaks count="2" manualBreakCount="2">
    <brk id="6" max="1048575" man="1"/>
    <brk id="1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0"/>
  <sheetViews>
    <sheetView zoomScaleNormal="100" workbookViewId="0">
      <selection activeCell="O34" sqref="O34"/>
    </sheetView>
  </sheetViews>
  <sheetFormatPr baseColWidth="10" defaultColWidth="11.42578125" defaultRowHeight="15" x14ac:dyDescent="0.25"/>
  <cols>
    <col min="1" max="1" width="42.140625" customWidth="1"/>
    <col min="2" max="2" width="16.140625" customWidth="1"/>
    <col min="3" max="3" width="26.5703125" customWidth="1"/>
    <col min="4" max="4" width="17.140625" customWidth="1"/>
    <col min="5" max="5" width="22.42578125" customWidth="1"/>
    <col min="6" max="6" width="17" customWidth="1"/>
    <col min="7" max="8" width="20.28515625" customWidth="1"/>
    <col min="9" max="9" width="24" customWidth="1"/>
    <col min="10" max="10" width="18.28515625" customWidth="1"/>
    <col min="11" max="11" width="43.42578125" customWidth="1"/>
    <col min="12" max="12" width="20" customWidth="1"/>
    <col min="13" max="13" width="33.5703125" customWidth="1"/>
    <col min="14" max="14" width="17.85546875" customWidth="1"/>
    <col min="15" max="15" width="29.7109375" customWidth="1"/>
    <col min="16" max="16" width="16.5703125" customWidth="1"/>
    <col min="17" max="17" width="22.28515625" customWidth="1"/>
    <col min="18" max="18" width="15.28515625" customWidth="1"/>
    <col min="19" max="19" width="30.28515625" customWidth="1"/>
    <col min="20" max="20" width="15.5703125" customWidth="1"/>
    <col min="21" max="21" width="19.42578125" customWidth="1"/>
    <col min="22" max="22" width="17.7109375" customWidth="1"/>
  </cols>
  <sheetData>
    <row r="1" spans="1:22" x14ac:dyDescent="0.25">
      <c r="A1" s="3" t="s">
        <v>0</v>
      </c>
    </row>
    <row r="2" spans="1:22" ht="15.75" thickBot="1" x14ac:dyDescent="0.3"/>
    <row r="3" spans="1:22" ht="15.75" thickBot="1" x14ac:dyDescent="0.3">
      <c r="A3" s="2" t="s">
        <v>1</v>
      </c>
      <c r="B3" s="4">
        <v>0.1</v>
      </c>
      <c r="C3" s="2" t="s">
        <v>1</v>
      </c>
      <c r="D3" s="4">
        <v>0.4</v>
      </c>
      <c r="E3" s="2" t="s">
        <v>1</v>
      </c>
      <c r="F3" s="4">
        <v>0.25</v>
      </c>
      <c r="G3" s="2" t="s">
        <v>1</v>
      </c>
      <c r="H3" s="4" t="s">
        <v>2</v>
      </c>
      <c r="I3" s="2" t="s">
        <v>1</v>
      </c>
      <c r="J3" s="4">
        <v>1</v>
      </c>
      <c r="K3" s="2" t="s">
        <v>1</v>
      </c>
      <c r="L3" s="4" t="s">
        <v>2</v>
      </c>
      <c r="M3" s="2" t="s">
        <v>1</v>
      </c>
      <c r="N3" s="4">
        <v>0.25</v>
      </c>
      <c r="O3" s="2" t="s">
        <v>1</v>
      </c>
      <c r="P3" s="4">
        <v>0.25</v>
      </c>
      <c r="Q3" s="2" t="s">
        <v>1</v>
      </c>
      <c r="R3" s="8" t="s">
        <v>2</v>
      </c>
      <c r="S3" s="2" t="s">
        <v>1</v>
      </c>
      <c r="T3" s="4">
        <v>1</v>
      </c>
      <c r="U3" s="2" t="s">
        <v>1</v>
      </c>
      <c r="V3" s="8" t="s">
        <v>2</v>
      </c>
    </row>
    <row r="4" spans="1:22" ht="15.75" thickBot="1" x14ac:dyDescent="0.3">
      <c r="A4" s="1" t="s">
        <v>3</v>
      </c>
      <c r="B4" s="6">
        <v>0.15</v>
      </c>
    </row>
    <row r="5" spans="1:22" ht="15.75" thickBot="1" x14ac:dyDescent="0.3">
      <c r="A5" s="2" t="s">
        <v>4</v>
      </c>
      <c r="B5" s="7" t="s">
        <v>8</v>
      </c>
      <c r="C5" s="2" t="s">
        <v>4</v>
      </c>
      <c r="D5" s="7" t="s">
        <v>6</v>
      </c>
      <c r="E5" s="2" t="s">
        <v>4</v>
      </c>
      <c r="F5" s="7" t="s">
        <v>8</v>
      </c>
      <c r="G5" s="2" t="s">
        <v>4</v>
      </c>
      <c r="H5" s="7" t="s">
        <v>8</v>
      </c>
      <c r="I5" s="2" t="s">
        <v>4</v>
      </c>
      <c r="J5" s="7" t="s">
        <v>8</v>
      </c>
      <c r="K5" s="2" t="s">
        <v>9</v>
      </c>
      <c r="L5" s="7" t="s">
        <v>8</v>
      </c>
      <c r="M5" s="2" t="s">
        <v>4</v>
      </c>
      <c r="N5" s="7" t="s">
        <v>8</v>
      </c>
      <c r="O5" s="2" t="s">
        <v>4</v>
      </c>
      <c r="P5" s="7" t="s">
        <v>8</v>
      </c>
      <c r="Q5" s="2" t="s">
        <v>11</v>
      </c>
      <c r="R5" s="7" t="s">
        <v>8</v>
      </c>
      <c r="S5" s="2" t="s">
        <v>4</v>
      </c>
      <c r="T5" s="7" t="s">
        <v>8</v>
      </c>
      <c r="U5" s="2" t="s">
        <v>12</v>
      </c>
      <c r="V5" s="7" t="s">
        <v>8</v>
      </c>
    </row>
    <row r="6" spans="1:22" x14ac:dyDescent="0.25">
      <c r="A6" s="109" t="s">
        <v>15</v>
      </c>
      <c r="B6" s="109"/>
      <c r="C6" s="110" t="s">
        <v>16</v>
      </c>
      <c r="D6" s="110"/>
      <c r="E6" s="110" t="s">
        <v>17</v>
      </c>
      <c r="F6" s="110"/>
      <c r="G6" s="111" t="s">
        <v>161</v>
      </c>
      <c r="H6" s="111"/>
      <c r="I6" s="110" t="s">
        <v>19</v>
      </c>
      <c r="J6" s="110"/>
      <c r="K6" s="5" t="s">
        <v>20</v>
      </c>
      <c r="L6" s="5"/>
      <c r="M6" s="5" t="s">
        <v>162</v>
      </c>
      <c r="N6" s="5"/>
      <c r="O6" s="5" t="s">
        <v>153</v>
      </c>
      <c r="P6" s="5"/>
      <c r="Q6" s="5" t="s">
        <v>22</v>
      </c>
      <c r="R6" s="5"/>
      <c r="S6" s="5" t="s">
        <v>23</v>
      </c>
      <c r="T6" s="5"/>
      <c r="U6" s="5" t="s">
        <v>24</v>
      </c>
      <c r="V6" s="5"/>
    </row>
    <row r="7" spans="1:22" x14ac:dyDescent="0.25">
      <c r="A7" s="9" t="s">
        <v>28</v>
      </c>
      <c r="B7" s="9" t="s">
        <v>31</v>
      </c>
      <c r="C7" s="9" t="s">
        <v>28</v>
      </c>
      <c r="D7" s="9" t="s">
        <v>30</v>
      </c>
      <c r="E7" s="9" t="s">
        <v>28</v>
      </c>
      <c r="F7" s="9" t="s">
        <v>30</v>
      </c>
      <c r="G7" s="9" t="s">
        <v>28</v>
      </c>
      <c r="H7" s="12" t="s">
        <v>30</v>
      </c>
      <c r="I7" s="9" t="s">
        <v>28</v>
      </c>
      <c r="J7" s="9" t="s">
        <v>30</v>
      </c>
      <c r="K7" s="9" t="s">
        <v>28</v>
      </c>
      <c r="L7" s="9" t="s">
        <v>31</v>
      </c>
      <c r="M7" s="9" t="s">
        <v>28</v>
      </c>
      <c r="N7" s="9" t="s">
        <v>31</v>
      </c>
      <c r="O7" s="9" t="s">
        <v>28</v>
      </c>
      <c r="P7" s="9" t="s">
        <v>31</v>
      </c>
      <c r="Q7" s="9" t="s">
        <v>28</v>
      </c>
      <c r="R7" s="9" t="s">
        <v>31</v>
      </c>
      <c r="S7" s="9" t="s">
        <v>28</v>
      </c>
      <c r="T7" s="9" t="s">
        <v>31</v>
      </c>
      <c r="U7" s="9" t="s">
        <v>28</v>
      </c>
      <c r="V7" s="9" t="s">
        <v>31</v>
      </c>
    </row>
    <row r="8" spans="1:22" x14ac:dyDescent="0.25">
      <c r="A8" s="10" t="s">
        <v>36</v>
      </c>
      <c r="B8" s="11">
        <v>251.32</v>
      </c>
      <c r="C8" s="10" t="s">
        <v>37</v>
      </c>
      <c r="D8" s="11">
        <v>122</v>
      </c>
      <c r="E8" s="10" t="s">
        <v>38</v>
      </c>
      <c r="F8" s="11">
        <v>81</v>
      </c>
      <c r="G8" s="10" t="s">
        <v>39</v>
      </c>
      <c r="H8" s="14">
        <v>103.7</v>
      </c>
      <c r="I8" s="10" t="s">
        <v>40</v>
      </c>
      <c r="J8" s="11">
        <v>115.9</v>
      </c>
      <c r="K8" s="10" t="s">
        <v>41</v>
      </c>
      <c r="L8" s="11">
        <v>103.7</v>
      </c>
      <c r="M8" s="10" t="s">
        <v>163</v>
      </c>
      <c r="N8" s="11">
        <v>139</v>
      </c>
      <c r="O8" s="10" t="s">
        <v>42</v>
      </c>
      <c r="P8" s="11">
        <v>86.62</v>
      </c>
      <c r="Q8" s="10" t="s">
        <v>42</v>
      </c>
      <c r="R8" s="11">
        <v>86.62</v>
      </c>
      <c r="S8" s="10" t="s">
        <v>43</v>
      </c>
      <c r="T8" s="11">
        <v>90</v>
      </c>
      <c r="U8" s="10" t="s">
        <v>43</v>
      </c>
      <c r="V8" s="11">
        <v>97.6</v>
      </c>
    </row>
    <row r="9" spans="1:22" x14ac:dyDescent="0.25">
      <c r="A9" s="10" t="s">
        <v>45</v>
      </c>
      <c r="B9" s="11">
        <v>351.36</v>
      </c>
      <c r="C9" s="10" t="s">
        <v>46</v>
      </c>
      <c r="D9" s="11">
        <v>164.7</v>
      </c>
      <c r="E9" s="10" t="s">
        <v>47</v>
      </c>
      <c r="F9" s="11">
        <v>50</v>
      </c>
      <c r="G9" s="10" t="s">
        <v>48</v>
      </c>
      <c r="H9" s="14">
        <v>140.30000000000001</v>
      </c>
      <c r="I9" s="10" t="s">
        <v>49</v>
      </c>
      <c r="J9" s="11">
        <v>91.5</v>
      </c>
      <c r="K9" s="10" t="s">
        <v>50</v>
      </c>
      <c r="L9" s="11">
        <v>146.4</v>
      </c>
      <c r="M9" s="10" t="s">
        <v>164</v>
      </c>
      <c r="N9" s="11">
        <v>139</v>
      </c>
      <c r="O9" s="10" t="s">
        <v>51</v>
      </c>
      <c r="P9" s="11">
        <v>129.32</v>
      </c>
      <c r="Q9" s="10" t="s">
        <v>51</v>
      </c>
      <c r="R9" s="11">
        <v>129.32</v>
      </c>
      <c r="S9" s="10" t="s">
        <v>52</v>
      </c>
      <c r="T9" s="11">
        <v>90</v>
      </c>
      <c r="U9" s="10" t="s">
        <v>39</v>
      </c>
      <c r="V9" s="11">
        <v>73.2</v>
      </c>
    </row>
    <row r="10" spans="1:22" x14ac:dyDescent="0.25">
      <c r="A10" s="10" t="s">
        <v>54</v>
      </c>
      <c r="B10" s="11">
        <v>376.98</v>
      </c>
      <c r="C10" s="10" t="s">
        <v>54</v>
      </c>
      <c r="D10" s="11">
        <v>423.34</v>
      </c>
      <c r="E10" s="10" t="s">
        <v>55</v>
      </c>
      <c r="F10" s="11">
        <v>78</v>
      </c>
      <c r="G10" s="10" t="s">
        <v>56</v>
      </c>
      <c r="H10" s="14">
        <v>280.60000000000002</v>
      </c>
      <c r="I10" s="10" t="s">
        <v>57</v>
      </c>
      <c r="J10" s="11">
        <v>103.7</v>
      </c>
      <c r="K10" s="10" t="s">
        <v>58</v>
      </c>
      <c r="L10" s="11">
        <v>305</v>
      </c>
      <c r="M10" s="10" t="s">
        <v>70</v>
      </c>
      <c r="N10" s="11">
        <v>841</v>
      </c>
      <c r="O10" s="10" t="s">
        <v>59</v>
      </c>
      <c r="P10" s="11">
        <v>167.14</v>
      </c>
      <c r="Q10" s="10" t="s">
        <v>59</v>
      </c>
      <c r="R10" s="11">
        <v>167.14</v>
      </c>
      <c r="S10" s="10" t="s">
        <v>60</v>
      </c>
      <c r="T10" s="11">
        <v>100</v>
      </c>
      <c r="U10" s="10" t="s">
        <v>48</v>
      </c>
      <c r="V10" s="11">
        <v>85.4</v>
      </c>
    </row>
    <row r="11" spans="1:22" x14ac:dyDescent="0.25">
      <c r="A11" s="10" t="s">
        <v>62</v>
      </c>
      <c r="B11" s="11">
        <v>1257.82</v>
      </c>
      <c r="C11" s="10" t="s">
        <v>63</v>
      </c>
      <c r="D11" s="11">
        <v>927.2</v>
      </c>
      <c r="E11" s="10" t="s">
        <v>57</v>
      </c>
      <c r="F11" s="11">
        <v>100</v>
      </c>
      <c r="G11" s="10" t="s">
        <v>64</v>
      </c>
      <c r="H11" s="14">
        <v>225.7</v>
      </c>
      <c r="I11" s="10" t="s">
        <v>65</v>
      </c>
      <c r="J11" s="11">
        <v>109.8</v>
      </c>
      <c r="K11" s="10" t="s">
        <v>66</v>
      </c>
      <c r="L11" s="11">
        <v>829.6</v>
      </c>
      <c r="M11" s="10" t="s">
        <v>94</v>
      </c>
      <c r="N11" s="11">
        <v>110</v>
      </c>
      <c r="O11" s="10" t="s">
        <v>67</v>
      </c>
      <c r="P11" s="11">
        <v>86.62</v>
      </c>
      <c r="Q11" s="10" t="s">
        <v>67</v>
      </c>
      <c r="R11" s="11">
        <v>86.62</v>
      </c>
      <c r="S11" s="10" t="s">
        <v>56</v>
      </c>
      <c r="T11" s="11">
        <v>200</v>
      </c>
      <c r="U11" s="10" t="s">
        <v>56</v>
      </c>
      <c r="V11" s="11">
        <v>183</v>
      </c>
    </row>
    <row r="12" spans="1:22" x14ac:dyDescent="0.25">
      <c r="A12" s="10" t="s">
        <v>70</v>
      </c>
      <c r="B12" s="11">
        <v>1793.4</v>
      </c>
      <c r="C12" s="10" t="s">
        <v>71</v>
      </c>
      <c r="D12" s="11">
        <v>1549.4</v>
      </c>
      <c r="E12" s="10" t="s">
        <v>72</v>
      </c>
      <c r="F12" s="11">
        <v>180</v>
      </c>
      <c r="G12" s="10" t="s">
        <v>73</v>
      </c>
      <c r="H12" s="14">
        <v>622.20000000000005</v>
      </c>
      <c r="I12" s="10" t="s">
        <v>58</v>
      </c>
      <c r="J12" s="11">
        <v>225.7</v>
      </c>
      <c r="K12" s="10" t="s">
        <v>74</v>
      </c>
      <c r="L12" s="11">
        <v>1018.7</v>
      </c>
      <c r="M12" s="10" t="s">
        <v>165</v>
      </c>
      <c r="N12" s="11">
        <v>131</v>
      </c>
      <c r="O12" s="10" t="s">
        <v>75</v>
      </c>
      <c r="P12" s="11">
        <v>114.68</v>
      </c>
      <c r="Q12" s="10" t="s">
        <v>75</v>
      </c>
      <c r="R12" s="11">
        <v>114.68</v>
      </c>
      <c r="S12" s="10" t="s">
        <v>76</v>
      </c>
      <c r="T12" s="11">
        <v>180</v>
      </c>
      <c r="U12" s="10" t="s">
        <v>77</v>
      </c>
      <c r="V12" s="11">
        <v>610</v>
      </c>
    </row>
    <row r="13" spans="1:22" x14ac:dyDescent="0.25">
      <c r="A13" s="10" t="s">
        <v>80</v>
      </c>
      <c r="B13" s="11">
        <v>161.04</v>
      </c>
      <c r="C13" s="10" t="s">
        <v>126</v>
      </c>
      <c r="D13" s="11">
        <v>1952</v>
      </c>
      <c r="E13" s="10" t="s">
        <v>82</v>
      </c>
      <c r="F13" s="11">
        <v>180</v>
      </c>
      <c r="G13" s="10" t="s">
        <v>83</v>
      </c>
      <c r="H13" s="14">
        <v>969.9</v>
      </c>
      <c r="I13" s="10" t="s">
        <v>84</v>
      </c>
      <c r="J13" s="11">
        <v>122</v>
      </c>
      <c r="K13" s="10" t="s">
        <v>40</v>
      </c>
      <c r="L13" s="11">
        <v>146.4</v>
      </c>
      <c r="M13" s="10" t="s">
        <v>166</v>
      </c>
      <c r="N13" s="11">
        <v>155</v>
      </c>
      <c r="O13" s="10" t="s">
        <v>85</v>
      </c>
      <c r="P13" s="11">
        <v>86.62</v>
      </c>
      <c r="Q13" s="10" t="s">
        <v>85</v>
      </c>
      <c r="R13" s="11">
        <v>86.62</v>
      </c>
      <c r="S13" s="10" t="s">
        <v>78</v>
      </c>
      <c r="T13" s="11">
        <v>445</v>
      </c>
      <c r="U13" s="10" t="s">
        <v>78</v>
      </c>
      <c r="V13" s="11">
        <v>366</v>
      </c>
    </row>
    <row r="14" spans="1:22" x14ac:dyDescent="0.25">
      <c r="A14" s="10" t="s">
        <v>88</v>
      </c>
      <c r="B14" s="11">
        <v>322.08</v>
      </c>
      <c r="C14" s="10" t="s">
        <v>89</v>
      </c>
      <c r="D14" s="11">
        <v>214.72</v>
      </c>
      <c r="E14" s="10" t="s">
        <v>83</v>
      </c>
      <c r="F14" s="11">
        <v>550</v>
      </c>
      <c r="G14" s="10" t="s">
        <v>40</v>
      </c>
      <c r="H14" s="14">
        <v>176.9</v>
      </c>
      <c r="I14" s="10" t="s">
        <v>70</v>
      </c>
      <c r="J14" s="11">
        <v>915</v>
      </c>
      <c r="K14" s="10" t="s">
        <v>90</v>
      </c>
      <c r="L14" s="11">
        <v>134.19999999999999</v>
      </c>
      <c r="M14" s="10" t="s">
        <v>167</v>
      </c>
      <c r="N14" s="11">
        <v>108</v>
      </c>
      <c r="O14" s="10" t="s">
        <v>91</v>
      </c>
      <c r="P14" s="11">
        <v>1493.28</v>
      </c>
      <c r="Q14" s="10" t="s">
        <v>91</v>
      </c>
      <c r="R14" s="11">
        <v>1493.28</v>
      </c>
      <c r="S14" s="10" t="s">
        <v>77</v>
      </c>
      <c r="T14" s="11">
        <v>665</v>
      </c>
      <c r="U14" s="10" t="s">
        <v>40</v>
      </c>
      <c r="V14" s="11">
        <v>97.6</v>
      </c>
    </row>
    <row r="15" spans="1:22" x14ac:dyDescent="0.25">
      <c r="A15" s="10" t="s">
        <v>94</v>
      </c>
      <c r="B15" s="11">
        <v>235.46</v>
      </c>
      <c r="C15" s="10" t="s">
        <v>95</v>
      </c>
      <c r="D15" s="11">
        <v>284.26</v>
      </c>
      <c r="E15" s="10" t="s">
        <v>70</v>
      </c>
      <c r="F15" s="11">
        <v>500</v>
      </c>
      <c r="G15" s="10" t="s">
        <v>96</v>
      </c>
      <c r="H15" s="14">
        <v>683.2</v>
      </c>
      <c r="I15" s="10" t="s">
        <v>97</v>
      </c>
      <c r="J15" s="11">
        <v>585.6</v>
      </c>
      <c r="K15" s="10" t="s">
        <v>98</v>
      </c>
      <c r="L15" s="11">
        <v>134.19999999999999</v>
      </c>
      <c r="M15" s="10" t="s">
        <v>48</v>
      </c>
      <c r="N15" s="11">
        <v>125</v>
      </c>
      <c r="O15" s="10" t="s">
        <v>99</v>
      </c>
      <c r="P15" s="11">
        <v>101.26</v>
      </c>
      <c r="Q15" s="10" t="s">
        <v>99</v>
      </c>
      <c r="R15" s="11">
        <v>101.26</v>
      </c>
      <c r="S15" s="10" t="s">
        <v>100</v>
      </c>
      <c r="T15" s="11">
        <v>85</v>
      </c>
      <c r="U15" s="10"/>
      <c r="V15" s="10"/>
    </row>
    <row r="16" spans="1:22" x14ac:dyDescent="0.25">
      <c r="A16" s="10" t="s">
        <v>103</v>
      </c>
      <c r="B16" s="11">
        <v>312.32</v>
      </c>
      <c r="C16" s="10" t="s">
        <v>104</v>
      </c>
      <c r="D16" s="11">
        <v>214.72</v>
      </c>
      <c r="E16" s="10"/>
      <c r="F16" s="10"/>
      <c r="G16" s="10" t="s">
        <v>43</v>
      </c>
      <c r="H16" s="14">
        <v>122</v>
      </c>
      <c r="I16" s="10" t="s">
        <v>106</v>
      </c>
      <c r="J16" s="11">
        <v>939.4</v>
      </c>
      <c r="K16" s="10"/>
      <c r="L16" s="10"/>
      <c r="M16" s="10" t="s">
        <v>56</v>
      </c>
      <c r="N16" s="11">
        <v>265</v>
      </c>
      <c r="O16" s="10" t="s">
        <v>107</v>
      </c>
      <c r="P16" s="11">
        <v>86.62</v>
      </c>
      <c r="Q16" s="10" t="s">
        <v>107</v>
      </c>
      <c r="R16" s="11">
        <v>86.62</v>
      </c>
      <c r="S16" s="10" t="s">
        <v>108</v>
      </c>
      <c r="T16" s="11">
        <v>125</v>
      </c>
      <c r="U16" s="10"/>
      <c r="V16" s="10"/>
    </row>
    <row r="17" spans="1:22" x14ac:dyDescent="0.25">
      <c r="A17" s="10" t="s">
        <v>147</v>
      </c>
      <c r="B17" s="11">
        <v>397.72</v>
      </c>
      <c r="C17" s="10" t="s">
        <v>111</v>
      </c>
      <c r="D17" s="11">
        <v>103.7</v>
      </c>
      <c r="E17" s="10"/>
      <c r="F17" s="10"/>
      <c r="G17" s="10"/>
      <c r="H17" s="10"/>
      <c r="I17" s="10" t="s">
        <v>112</v>
      </c>
      <c r="J17" s="11">
        <v>1098</v>
      </c>
      <c r="K17" s="10"/>
      <c r="L17" s="10"/>
      <c r="M17" s="10" t="s">
        <v>168</v>
      </c>
      <c r="N17" s="11">
        <v>327</v>
      </c>
      <c r="O17" s="10" t="s">
        <v>114</v>
      </c>
      <c r="P17" s="11">
        <v>212.28</v>
      </c>
      <c r="Q17" s="10" t="s">
        <v>114</v>
      </c>
      <c r="R17" s="11">
        <v>212.28</v>
      </c>
      <c r="S17" s="10" t="s">
        <v>115</v>
      </c>
      <c r="T17" s="11">
        <v>100</v>
      </c>
      <c r="U17" s="10"/>
      <c r="V17" s="10"/>
    </row>
    <row r="18" spans="1:22" x14ac:dyDescent="0.25">
      <c r="A18" s="10"/>
      <c r="B18" s="10"/>
      <c r="C18" s="10" t="s">
        <v>70</v>
      </c>
      <c r="D18" s="11">
        <v>1146.8</v>
      </c>
      <c r="E18" s="10"/>
      <c r="F18" s="10"/>
      <c r="G18" s="10"/>
      <c r="H18" s="10"/>
      <c r="I18" s="10" t="s">
        <v>117</v>
      </c>
      <c r="J18" s="11">
        <v>3416</v>
      </c>
      <c r="K18" s="10"/>
      <c r="L18" s="10"/>
      <c r="M18" s="10" t="s">
        <v>169</v>
      </c>
      <c r="N18" s="11">
        <v>248</v>
      </c>
      <c r="O18" s="10" t="s">
        <v>119</v>
      </c>
      <c r="P18" s="11">
        <v>668.56</v>
      </c>
      <c r="Q18" s="10" t="s">
        <v>119</v>
      </c>
      <c r="R18" s="11">
        <v>668.56</v>
      </c>
      <c r="S18" s="10" t="s">
        <v>70</v>
      </c>
      <c r="T18" s="11">
        <v>600</v>
      </c>
      <c r="U18" s="10"/>
      <c r="V18" s="10"/>
    </row>
    <row r="19" spans="1:22" x14ac:dyDescent="0.25">
      <c r="A19" s="10" t="s">
        <v>122</v>
      </c>
      <c r="B19" s="10"/>
      <c r="C19" s="10" t="s">
        <v>43</v>
      </c>
      <c r="D19" s="11">
        <v>152.5</v>
      </c>
      <c r="E19" s="10"/>
      <c r="F19" s="10"/>
      <c r="G19" s="10"/>
      <c r="H19" s="9"/>
      <c r="I19" s="10"/>
      <c r="J19" s="10"/>
      <c r="K19" s="10"/>
      <c r="L19" s="10"/>
      <c r="M19" s="10" t="s">
        <v>170</v>
      </c>
      <c r="N19" s="11">
        <v>650</v>
      </c>
      <c r="O19" s="10" t="s">
        <v>124</v>
      </c>
      <c r="P19" s="11">
        <v>334.28</v>
      </c>
      <c r="Q19" s="10" t="s">
        <v>124</v>
      </c>
      <c r="R19" s="11">
        <v>334.28</v>
      </c>
      <c r="S19" s="10"/>
      <c r="T19" s="10"/>
      <c r="U19" s="10"/>
      <c r="V19" s="10"/>
    </row>
    <row r="20" spans="1:22" x14ac:dyDescent="0.25">
      <c r="A20" s="10"/>
      <c r="B20" s="10"/>
      <c r="C20" s="10" t="s">
        <v>131</v>
      </c>
      <c r="D20" s="11">
        <v>53.68</v>
      </c>
      <c r="E20" s="10"/>
      <c r="F20" s="10"/>
      <c r="G20" s="10"/>
      <c r="H20" s="10"/>
      <c r="I20" s="10"/>
      <c r="J20" s="10"/>
      <c r="K20" s="10"/>
      <c r="L20" s="10"/>
      <c r="M20" s="10" t="s">
        <v>171</v>
      </c>
      <c r="N20" s="11">
        <v>780</v>
      </c>
      <c r="O20" s="10" t="s">
        <v>127</v>
      </c>
      <c r="P20" s="11">
        <v>217.16</v>
      </c>
      <c r="Q20" s="10" t="s">
        <v>127</v>
      </c>
      <c r="R20" s="11">
        <v>217.16</v>
      </c>
      <c r="S20" s="10"/>
      <c r="T20" s="10"/>
      <c r="U20" s="10"/>
      <c r="V20" s="10"/>
    </row>
    <row r="21" spans="1:22" x14ac:dyDescent="0.25">
      <c r="A21" s="10"/>
      <c r="B21" s="10"/>
      <c r="C21" s="10" t="s">
        <v>133</v>
      </c>
      <c r="D21" s="11">
        <v>103.7</v>
      </c>
      <c r="E21" s="10"/>
      <c r="F21" s="10"/>
      <c r="G21" s="10"/>
      <c r="H21" s="10"/>
      <c r="I21" s="10"/>
      <c r="J21" s="10"/>
      <c r="K21" s="10"/>
      <c r="L21" s="10"/>
      <c r="M21" s="10" t="s">
        <v>172</v>
      </c>
      <c r="N21" s="11">
        <v>37</v>
      </c>
      <c r="O21" s="10" t="s">
        <v>130</v>
      </c>
      <c r="P21" s="11">
        <v>1050.42</v>
      </c>
      <c r="Q21" s="10" t="s">
        <v>130</v>
      </c>
      <c r="R21" s="11">
        <v>1050.42</v>
      </c>
      <c r="S21" s="10"/>
      <c r="T21" s="10"/>
      <c r="U21" s="10"/>
      <c r="V21" s="10"/>
    </row>
    <row r="22" spans="1:22" x14ac:dyDescent="0.25">
      <c r="A22" s="10"/>
      <c r="B22" s="10"/>
      <c r="C22" s="10" t="s">
        <v>135</v>
      </c>
      <c r="D22" s="11">
        <v>53.68</v>
      </c>
      <c r="E22" s="10"/>
      <c r="F22" s="10"/>
      <c r="G22" s="10"/>
      <c r="H22" s="10"/>
      <c r="I22" s="10"/>
      <c r="J22" s="10"/>
      <c r="K22" s="10"/>
      <c r="L22" s="10"/>
      <c r="M22" s="10" t="s">
        <v>173</v>
      </c>
      <c r="N22" s="11">
        <v>48</v>
      </c>
      <c r="O22" s="10" t="s">
        <v>132</v>
      </c>
      <c r="P22" s="11">
        <v>485.56</v>
      </c>
      <c r="Q22" s="10" t="s">
        <v>132</v>
      </c>
      <c r="R22" s="11">
        <v>485.56</v>
      </c>
      <c r="S22" s="10"/>
      <c r="T22" s="10"/>
      <c r="U22" s="10"/>
      <c r="V22" s="10"/>
    </row>
    <row r="23" spans="1:22" x14ac:dyDescent="0.25">
      <c r="A23" s="10"/>
      <c r="B23" s="10"/>
      <c r="C23" s="10" t="s">
        <v>136</v>
      </c>
      <c r="D23" s="11">
        <v>76.86</v>
      </c>
      <c r="E23" s="10"/>
      <c r="F23" s="10"/>
      <c r="G23" s="10"/>
      <c r="H23" s="10"/>
      <c r="I23" s="10"/>
      <c r="J23" s="10"/>
      <c r="K23" s="10"/>
      <c r="L23" s="10"/>
      <c r="M23" s="10" t="s">
        <v>174</v>
      </c>
      <c r="N23" s="11">
        <v>57</v>
      </c>
      <c r="O23" s="10" t="s">
        <v>134</v>
      </c>
      <c r="P23" s="11">
        <v>114.68</v>
      </c>
      <c r="Q23" s="10" t="s">
        <v>134</v>
      </c>
      <c r="R23" s="11">
        <v>114.68</v>
      </c>
      <c r="S23" s="10"/>
      <c r="T23" s="10"/>
      <c r="U23" s="10"/>
      <c r="V23" s="10"/>
    </row>
    <row r="24" spans="1:22" x14ac:dyDescent="0.25">
      <c r="A24" s="10"/>
      <c r="B24" s="10"/>
      <c r="C24" s="10" t="s">
        <v>137</v>
      </c>
      <c r="D24" s="11">
        <v>201.3</v>
      </c>
      <c r="E24" s="10"/>
      <c r="F24" s="10"/>
      <c r="G24" s="10"/>
      <c r="H24" s="10"/>
      <c r="I24" s="10"/>
      <c r="J24" s="10"/>
      <c r="K24" s="10"/>
      <c r="L24" s="10"/>
      <c r="M24" s="10" t="s">
        <v>175</v>
      </c>
      <c r="N24" s="11">
        <v>80</v>
      </c>
      <c r="O24" s="10" t="s">
        <v>111</v>
      </c>
      <c r="P24" s="11">
        <v>76.86</v>
      </c>
      <c r="Q24" s="10" t="s">
        <v>111</v>
      </c>
      <c r="R24" s="11">
        <v>76.86</v>
      </c>
      <c r="S24" s="10"/>
      <c r="T24" s="10"/>
      <c r="U24" s="10"/>
      <c r="V24" s="10"/>
    </row>
    <row r="25" spans="1:2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 t="s">
        <v>70</v>
      </c>
      <c r="P25" s="11">
        <v>829.6</v>
      </c>
      <c r="Q25" s="10" t="s">
        <v>70</v>
      </c>
      <c r="R25" s="11">
        <v>829.6</v>
      </c>
      <c r="S25" s="10"/>
      <c r="T25" s="10"/>
      <c r="U25" s="10"/>
      <c r="V25" s="10"/>
    </row>
    <row r="26" spans="1:22" x14ac:dyDescent="0.25">
      <c r="O26" s="10" t="s">
        <v>138</v>
      </c>
      <c r="P26" s="11">
        <v>37</v>
      </c>
    </row>
    <row r="27" spans="1:22" x14ac:dyDescent="0.25">
      <c r="O27" s="10" t="s">
        <v>139</v>
      </c>
      <c r="P27" s="11">
        <v>39</v>
      </c>
    </row>
    <row r="28" spans="1:22" x14ac:dyDescent="0.25">
      <c r="O28" s="10" t="s">
        <v>140</v>
      </c>
      <c r="P28" s="11">
        <v>28</v>
      </c>
    </row>
    <row r="29" spans="1:22" x14ac:dyDescent="0.25">
      <c r="O29" s="10" t="s">
        <v>141</v>
      </c>
      <c r="P29" s="11">
        <v>37</v>
      </c>
    </row>
    <row r="30" spans="1:22" x14ac:dyDescent="0.25">
      <c r="O30" s="10" t="s">
        <v>142</v>
      </c>
      <c r="P30" s="11">
        <v>31</v>
      </c>
    </row>
  </sheetData>
  <mergeCells count="5">
    <mergeCell ref="A6:B6"/>
    <mergeCell ref="C6:D6"/>
    <mergeCell ref="E6:F6"/>
    <mergeCell ref="G6:H6"/>
    <mergeCell ref="I6:J6"/>
  </mergeCells>
  <pageMargins left="0.7" right="0.7" top="0.75" bottom="0.75" header="0.3" footer="0.3"/>
  <pageSetup paperSize="9" scale="88" orientation="landscape" verticalDpi="0" r:id="rId1"/>
  <colBreaks count="2" manualBreakCount="2">
    <brk id="6" max="1048575" man="1"/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0"/>
  <sheetViews>
    <sheetView workbookViewId="0">
      <selection activeCell="C30" sqref="C30"/>
    </sheetView>
  </sheetViews>
  <sheetFormatPr baseColWidth="10" defaultColWidth="11.42578125" defaultRowHeight="15" x14ac:dyDescent="0.25"/>
  <cols>
    <col min="1" max="1" width="42.140625" customWidth="1"/>
    <col min="2" max="2" width="16.140625" customWidth="1"/>
    <col min="3" max="3" width="26.5703125" customWidth="1"/>
    <col min="4" max="4" width="17.140625" customWidth="1"/>
    <col min="5" max="5" width="22.42578125" customWidth="1"/>
    <col min="6" max="6" width="17" customWidth="1"/>
    <col min="7" max="8" width="20.28515625" customWidth="1"/>
    <col min="9" max="9" width="24" customWidth="1"/>
    <col min="10" max="10" width="18.28515625" customWidth="1"/>
    <col min="11" max="11" width="43.42578125" customWidth="1"/>
    <col min="12" max="12" width="20" customWidth="1"/>
    <col min="13" max="13" width="33.5703125" customWidth="1"/>
    <col min="14" max="14" width="17.85546875" customWidth="1"/>
    <col min="15" max="15" width="29.7109375" customWidth="1"/>
    <col min="16" max="16" width="16.5703125" customWidth="1"/>
    <col min="17" max="17" width="22.28515625" customWidth="1"/>
    <col min="18" max="18" width="15.28515625" customWidth="1"/>
    <col min="19" max="19" width="30.28515625" customWidth="1"/>
    <col min="20" max="20" width="15.5703125" customWidth="1"/>
    <col min="21" max="21" width="19.42578125" customWidth="1"/>
    <col min="22" max="22" width="17.7109375" customWidth="1"/>
  </cols>
  <sheetData>
    <row r="1" spans="1:22" x14ac:dyDescent="0.25">
      <c r="A1" s="3" t="s">
        <v>0</v>
      </c>
    </row>
    <row r="2" spans="1:22" ht="15.75" thickBot="1" x14ac:dyDescent="0.3"/>
    <row r="3" spans="1:22" ht="15.75" thickBot="1" x14ac:dyDescent="0.3">
      <c r="A3" s="2" t="s">
        <v>1</v>
      </c>
      <c r="B3" s="4">
        <v>0.1</v>
      </c>
      <c r="C3" s="2" t="s">
        <v>1</v>
      </c>
      <c r="D3" s="4">
        <v>0.4</v>
      </c>
      <c r="E3" s="2" t="s">
        <v>1</v>
      </c>
      <c r="F3" s="4">
        <v>0.25</v>
      </c>
      <c r="G3" s="2" t="s">
        <v>1</v>
      </c>
      <c r="H3" s="4" t="s">
        <v>2</v>
      </c>
      <c r="I3" s="2" t="s">
        <v>1</v>
      </c>
      <c r="J3" s="4">
        <v>1</v>
      </c>
      <c r="K3" s="2" t="s">
        <v>1</v>
      </c>
      <c r="L3" s="4" t="s">
        <v>2</v>
      </c>
      <c r="M3" s="2" t="s">
        <v>1</v>
      </c>
      <c r="N3" s="4">
        <v>0.25</v>
      </c>
      <c r="O3" s="2" t="s">
        <v>1</v>
      </c>
      <c r="P3" s="4">
        <v>0.25</v>
      </c>
      <c r="Q3" s="2" t="s">
        <v>1</v>
      </c>
      <c r="R3" s="8" t="s">
        <v>2</v>
      </c>
      <c r="S3" s="2" t="s">
        <v>1</v>
      </c>
      <c r="T3" s="4">
        <v>1</v>
      </c>
      <c r="U3" s="2" t="s">
        <v>1</v>
      </c>
      <c r="V3" s="8" t="s">
        <v>2</v>
      </c>
    </row>
    <row r="4" spans="1:22" ht="15.75" thickBot="1" x14ac:dyDescent="0.3">
      <c r="A4" s="1" t="s">
        <v>3</v>
      </c>
      <c r="B4" s="6">
        <v>0.15</v>
      </c>
    </row>
    <row r="5" spans="1:22" ht="15.75" thickBot="1" x14ac:dyDescent="0.3">
      <c r="A5" s="2" t="s">
        <v>4</v>
      </c>
      <c r="B5" s="7" t="s">
        <v>8</v>
      </c>
      <c r="C5" s="2" t="s">
        <v>4</v>
      </c>
      <c r="D5" s="7" t="s">
        <v>6</v>
      </c>
      <c r="E5" s="2" t="s">
        <v>4</v>
      </c>
      <c r="F5" s="7" t="s">
        <v>8</v>
      </c>
      <c r="G5" s="2" t="s">
        <v>4</v>
      </c>
      <c r="H5" s="7" t="s">
        <v>8</v>
      </c>
      <c r="I5" s="2" t="s">
        <v>4</v>
      </c>
      <c r="J5" s="7" t="s">
        <v>8</v>
      </c>
      <c r="K5" s="2" t="s">
        <v>9</v>
      </c>
      <c r="L5" s="7" t="s">
        <v>8</v>
      </c>
      <c r="M5" s="2" t="s">
        <v>4</v>
      </c>
      <c r="N5" s="7" t="s">
        <v>8</v>
      </c>
      <c r="O5" s="2" t="s">
        <v>4</v>
      </c>
      <c r="P5" s="7" t="s">
        <v>8</v>
      </c>
      <c r="Q5" s="2" t="s">
        <v>11</v>
      </c>
      <c r="R5" s="7" t="s">
        <v>8</v>
      </c>
      <c r="S5" s="2" t="s">
        <v>4</v>
      </c>
      <c r="T5" s="7" t="s">
        <v>8</v>
      </c>
      <c r="U5" s="2" t="s">
        <v>12</v>
      </c>
      <c r="V5" s="7" t="s">
        <v>8</v>
      </c>
    </row>
    <row r="6" spans="1:22" x14ac:dyDescent="0.25">
      <c r="A6" s="109" t="s">
        <v>15</v>
      </c>
      <c r="B6" s="109"/>
      <c r="C6" s="110" t="s">
        <v>16</v>
      </c>
      <c r="D6" s="110"/>
      <c r="E6" s="110" t="s">
        <v>17</v>
      </c>
      <c r="F6" s="110"/>
      <c r="G6" s="111" t="s">
        <v>161</v>
      </c>
      <c r="H6" s="111"/>
      <c r="I6" s="110" t="s">
        <v>19</v>
      </c>
      <c r="J6" s="110"/>
      <c r="K6" s="5" t="s">
        <v>20</v>
      </c>
      <c r="L6" s="5"/>
      <c r="M6" s="5" t="s">
        <v>162</v>
      </c>
      <c r="N6" s="5"/>
      <c r="O6" s="5" t="s">
        <v>153</v>
      </c>
      <c r="P6" s="5"/>
      <c r="Q6" s="5" t="s">
        <v>22</v>
      </c>
      <c r="R6" s="5"/>
      <c r="S6" s="5" t="s">
        <v>23</v>
      </c>
      <c r="T6" s="5"/>
      <c r="U6" s="5" t="s">
        <v>24</v>
      </c>
      <c r="V6" s="5"/>
    </row>
    <row r="7" spans="1:22" x14ac:dyDescent="0.25">
      <c r="A7" s="9" t="s">
        <v>28</v>
      </c>
      <c r="B7" s="9" t="s">
        <v>31</v>
      </c>
      <c r="C7" s="9" t="s">
        <v>28</v>
      </c>
      <c r="D7" s="9" t="s">
        <v>30</v>
      </c>
      <c r="E7" s="9" t="s">
        <v>28</v>
      </c>
      <c r="F7" s="9" t="s">
        <v>30</v>
      </c>
      <c r="G7" s="9" t="s">
        <v>28</v>
      </c>
      <c r="H7" s="12" t="s">
        <v>30</v>
      </c>
      <c r="I7" s="9" t="s">
        <v>28</v>
      </c>
      <c r="J7" s="9" t="s">
        <v>30</v>
      </c>
      <c r="K7" s="9" t="s">
        <v>28</v>
      </c>
      <c r="L7" s="9" t="s">
        <v>31</v>
      </c>
      <c r="M7" s="9" t="s">
        <v>28</v>
      </c>
      <c r="N7" s="9" t="s">
        <v>31</v>
      </c>
      <c r="O7" s="9" t="s">
        <v>28</v>
      </c>
      <c r="P7" s="9" t="s">
        <v>31</v>
      </c>
      <c r="Q7" s="9" t="s">
        <v>28</v>
      </c>
      <c r="R7" s="9" t="s">
        <v>31</v>
      </c>
      <c r="S7" s="9" t="s">
        <v>28</v>
      </c>
      <c r="T7" s="9" t="s">
        <v>31</v>
      </c>
      <c r="U7" s="9" t="s">
        <v>28</v>
      </c>
      <c r="V7" s="9" t="s">
        <v>31</v>
      </c>
    </row>
    <row r="8" spans="1:22" x14ac:dyDescent="0.25">
      <c r="A8" s="10" t="s">
        <v>36</v>
      </c>
      <c r="B8" s="11">
        <v>251.32</v>
      </c>
      <c r="C8" s="10" t="s">
        <v>37</v>
      </c>
      <c r="D8" s="11">
        <v>122</v>
      </c>
      <c r="E8" s="10" t="s">
        <v>38</v>
      </c>
      <c r="F8" s="11">
        <v>81</v>
      </c>
      <c r="G8" s="10" t="s">
        <v>39</v>
      </c>
      <c r="H8" s="13">
        <v>96.38</v>
      </c>
      <c r="I8" s="10" t="s">
        <v>40</v>
      </c>
      <c r="J8" s="11">
        <v>115.9</v>
      </c>
      <c r="K8" s="10" t="s">
        <v>41</v>
      </c>
      <c r="L8" s="11">
        <v>103.7</v>
      </c>
      <c r="M8" s="10" t="s">
        <v>163</v>
      </c>
      <c r="N8" s="11">
        <v>139</v>
      </c>
      <c r="O8" s="10" t="s">
        <v>42</v>
      </c>
      <c r="P8" s="11">
        <v>86.62</v>
      </c>
      <c r="Q8" s="10" t="s">
        <v>42</v>
      </c>
      <c r="R8" s="11">
        <v>86.62</v>
      </c>
      <c r="S8" s="10" t="s">
        <v>43</v>
      </c>
      <c r="T8" s="11">
        <v>90</v>
      </c>
      <c r="U8" s="10" t="s">
        <v>43</v>
      </c>
      <c r="V8" s="11">
        <v>97.6</v>
      </c>
    </row>
    <row r="9" spans="1:22" x14ac:dyDescent="0.25">
      <c r="A9" s="10" t="s">
        <v>45</v>
      </c>
      <c r="B9" s="11">
        <v>351.36</v>
      </c>
      <c r="C9" s="10" t="s">
        <v>46</v>
      </c>
      <c r="D9" s="11">
        <v>164.7</v>
      </c>
      <c r="E9" s="10" t="s">
        <v>47</v>
      </c>
      <c r="F9" s="11">
        <v>50</v>
      </c>
      <c r="G9" s="10" t="s">
        <v>48</v>
      </c>
      <c r="H9" s="13">
        <v>128.1</v>
      </c>
      <c r="I9" s="10" t="s">
        <v>49</v>
      </c>
      <c r="J9" s="11">
        <v>91.5</v>
      </c>
      <c r="K9" s="10" t="s">
        <v>50</v>
      </c>
      <c r="L9" s="11">
        <v>146.4</v>
      </c>
      <c r="M9" s="10" t="s">
        <v>164</v>
      </c>
      <c r="N9" s="11">
        <v>139</v>
      </c>
      <c r="O9" s="10" t="s">
        <v>51</v>
      </c>
      <c r="P9" s="11">
        <v>129.32</v>
      </c>
      <c r="Q9" s="10" t="s">
        <v>51</v>
      </c>
      <c r="R9" s="11">
        <v>129.32</v>
      </c>
      <c r="S9" s="10" t="s">
        <v>52</v>
      </c>
      <c r="T9" s="11">
        <v>90</v>
      </c>
      <c r="U9" s="10" t="s">
        <v>39</v>
      </c>
      <c r="V9" s="11">
        <v>73.2</v>
      </c>
    </row>
    <row r="10" spans="1:22" x14ac:dyDescent="0.25">
      <c r="A10" s="10" t="s">
        <v>54</v>
      </c>
      <c r="B10" s="11">
        <v>376.98</v>
      </c>
      <c r="C10" s="10" t="s">
        <v>54</v>
      </c>
      <c r="D10" s="11">
        <v>423.34</v>
      </c>
      <c r="E10" s="10" t="s">
        <v>55</v>
      </c>
      <c r="F10" s="11">
        <v>78</v>
      </c>
      <c r="G10" s="10" t="s">
        <v>56</v>
      </c>
      <c r="H10" s="13">
        <v>256.2</v>
      </c>
      <c r="I10" s="10" t="s">
        <v>57</v>
      </c>
      <c r="J10" s="11">
        <v>103.7</v>
      </c>
      <c r="K10" s="10" t="s">
        <v>58</v>
      </c>
      <c r="L10" s="11">
        <v>305</v>
      </c>
      <c r="M10" s="10" t="s">
        <v>70</v>
      </c>
      <c r="N10" s="11">
        <v>841</v>
      </c>
      <c r="O10" s="10" t="s">
        <v>59</v>
      </c>
      <c r="P10" s="11">
        <v>167.14</v>
      </c>
      <c r="Q10" s="10" t="s">
        <v>59</v>
      </c>
      <c r="R10" s="11">
        <v>167.14</v>
      </c>
      <c r="S10" s="10" t="s">
        <v>60</v>
      </c>
      <c r="T10" s="11">
        <v>100</v>
      </c>
      <c r="U10" s="10" t="s">
        <v>48</v>
      </c>
      <c r="V10" s="11">
        <v>85.4</v>
      </c>
    </row>
    <row r="11" spans="1:22" x14ac:dyDescent="0.25">
      <c r="A11" s="10" t="s">
        <v>62</v>
      </c>
      <c r="B11" s="11">
        <v>1257.82</v>
      </c>
      <c r="C11" s="10" t="s">
        <v>63</v>
      </c>
      <c r="D11" s="11">
        <v>927.2</v>
      </c>
      <c r="E11" s="10" t="s">
        <v>57</v>
      </c>
      <c r="F11" s="11">
        <v>100</v>
      </c>
      <c r="G11" s="10" t="s">
        <v>64</v>
      </c>
      <c r="H11" s="13">
        <v>207.4</v>
      </c>
      <c r="I11" s="10" t="s">
        <v>65</v>
      </c>
      <c r="J11" s="11">
        <v>109.8</v>
      </c>
      <c r="K11" s="10" t="s">
        <v>66</v>
      </c>
      <c r="L11" s="11">
        <v>829.6</v>
      </c>
      <c r="M11" s="10" t="s">
        <v>94</v>
      </c>
      <c r="N11" s="11">
        <v>110</v>
      </c>
      <c r="O11" s="10" t="s">
        <v>67</v>
      </c>
      <c r="P11" s="11">
        <v>86.62</v>
      </c>
      <c r="Q11" s="10" t="s">
        <v>67</v>
      </c>
      <c r="R11" s="11">
        <v>86.62</v>
      </c>
      <c r="S11" s="10" t="s">
        <v>56</v>
      </c>
      <c r="T11" s="11">
        <v>200</v>
      </c>
      <c r="U11" s="10" t="s">
        <v>56</v>
      </c>
      <c r="V11" s="11">
        <v>183</v>
      </c>
    </row>
    <row r="12" spans="1:22" x14ac:dyDescent="0.25">
      <c r="A12" s="10" t="s">
        <v>70</v>
      </c>
      <c r="B12" s="11">
        <v>1793.4</v>
      </c>
      <c r="C12" s="10" t="s">
        <v>71</v>
      </c>
      <c r="D12" s="11">
        <v>1549.4</v>
      </c>
      <c r="E12" s="10" t="s">
        <v>72</v>
      </c>
      <c r="F12" s="11">
        <v>180</v>
      </c>
      <c r="G12" s="10" t="s">
        <v>73</v>
      </c>
      <c r="H12" s="13">
        <v>603.9</v>
      </c>
      <c r="I12" s="10" t="s">
        <v>58</v>
      </c>
      <c r="J12" s="11">
        <v>225.7</v>
      </c>
      <c r="K12" s="10" t="s">
        <v>74</v>
      </c>
      <c r="L12" s="11">
        <v>1018.7</v>
      </c>
      <c r="M12" s="10" t="s">
        <v>165</v>
      </c>
      <c r="N12" s="11">
        <v>131</v>
      </c>
      <c r="O12" s="10" t="s">
        <v>75</v>
      </c>
      <c r="P12" s="11">
        <v>114.68</v>
      </c>
      <c r="Q12" s="10" t="s">
        <v>75</v>
      </c>
      <c r="R12" s="11">
        <v>114.68</v>
      </c>
      <c r="S12" s="10" t="s">
        <v>76</v>
      </c>
      <c r="T12" s="11">
        <v>180</v>
      </c>
      <c r="U12" s="10" t="s">
        <v>77</v>
      </c>
      <c r="V12" s="11">
        <v>610</v>
      </c>
    </row>
    <row r="13" spans="1:22" x14ac:dyDescent="0.25">
      <c r="A13" s="10" t="s">
        <v>80</v>
      </c>
      <c r="B13" s="11">
        <v>161.04</v>
      </c>
      <c r="C13" s="10" t="s">
        <v>126</v>
      </c>
      <c r="D13" s="11">
        <v>1952</v>
      </c>
      <c r="E13" s="10" t="s">
        <v>82</v>
      </c>
      <c r="F13" s="11">
        <v>180</v>
      </c>
      <c r="G13" s="10" t="s">
        <v>83</v>
      </c>
      <c r="H13" s="13">
        <v>951.6</v>
      </c>
      <c r="I13" s="10" t="s">
        <v>84</v>
      </c>
      <c r="J13" s="11">
        <v>122</v>
      </c>
      <c r="K13" s="10" t="s">
        <v>40</v>
      </c>
      <c r="L13" s="11">
        <v>146.4</v>
      </c>
      <c r="M13" s="10" t="s">
        <v>166</v>
      </c>
      <c r="N13" s="11">
        <v>155</v>
      </c>
      <c r="O13" s="10" t="s">
        <v>85</v>
      </c>
      <c r="P13" s="11">
        <v>86.62</v>
      </c>
      <c r="Q13" s="10" t="s">
        <v>85</v>
      </c>
      <c r="R13" s="11">
        <v>86.62</v>
      </c>
      <c r="S13" s="10" t="s">
        <v>78</v>
      </c>
      <c r="T13" s="11">
        <v>445</v>
      </c>
      <c r="U13" s="10" t="s">
        <v>78</v>
      </c>
      <c r="V13" s="11">
        <v>366</v>
      </c>
    </row>
    <row r="14" spans="1:22" x14ac:dyDescent="0.25">
      <c r="A14" s="10" t="s">
        <v>88</v>
      </c>
      <c r="B14" s="11">
        <v>322.08</v>
      </c>
      <c r="C14" s="10" t="s">
        <v>89</v>
      </c>
      <c r="D14" s="11">
        <v>214.72</v>
      </c>
      <c r="E14" s="10" t="s">
        <v>83</v>
      </c>
      <c r="F14" s="11">
        <v>550</v>
      </c>
      <c r="G14" s="10" t="s">
        <v>40</v>
      </c>
      <c r="H14" s="13">
        <v>158.6</v>
      </c>
      <c r="I14" s="10" t="s">
        <v>70</v>
      </c>
      <c r="J14" s="11">
        <v>915</v>
      </c>
      <c r="K14" s="10" t="s">
        <v>90</v>
      </c>
      <c r="L14" s="11">
        <v>134.19999999999999</v>
      </c>
      <c r="M14" s="10" t="s">
        <v>167</v>
      </c>
      <c r="N14" s="11">
        <v>108</v>
      </c>
      <c r="O14" s="10" t="s">
        <v>91</v>
      </c>
      <c r="P14" s="11">
        <v>1493.28</v>
      </c>
      <c r="Q14" s="10" t="s">
        <v>91</v>
      </c>
      <c r="R14" s="11">
        <v>1493.28</v>
      </c>
      <c r="S14" s="10" t="s">
        <v>77</v>
      </c>
      <c r="T14" s="11">
        <v>665</v>
      </c>
      <c r="U14" s="10" t="s">
        <v>40</v>
      </c>
      <c r="V14" s="11">
        <v>97.6</v>
      </c>
    </row>
    <row r="15" spans="1:22" x14ac:dyDescent="0.25">
      <c r="A15" s="10" t="s">
        <v>94</v>
      </c>
      <c r="B15" s="11">
        <v>235.46</v>
      </c>
      <c r="C15" s="10" t="s">
        <v>95</v>
      </c>
      <c r="D15" s="11">
        <v>284.26</v>
      </c>
      <c r="E15" s="10" t="s">
        <v>70</v>
      </c>
      <c r="F15" s="11">
        <v>500</v>
      </c>
      <c r="G15" s="10" t="s">
        <v>96</v>
      </c>
      <c r="H15" s="13">
        <v>671</v>
      </c>
      <c r="I15" s="10" t="s">
        <v>97</v>
      </c>
      <c r="J15" s="11">
        <v>585.6</v>
      </c>
      <c r="K15" s="10" t="s">
        <v>98</v>
      </c>
      <c r="L15" s="11">
        <v>134.19999999999999</v>
      </c>
      <c r="M15" s="10" t="s">
        <v>48</v>
      </c>
      <c r="N15" s="11">
        <v>125</v>
      </c>
      <c r="O15" s="10" t="s">
        <v>99</v>
      </c>
      <c r="P15" s="11">
        <v>101.26</v>
      </c>
      <c r="Q15" s="10" t="s">
        <v>99</v>
      </c>
      <c r="R15" s="11">
        <v>101.26</v>
      </c>
      <c r="S15" s="10" t="s">
        <v>100</v>
      </c>
      <c r="T15" s="11">
        <v>85</v>
      </c>
      <c r="U15" s="10"/>
      <c r="V15" s="10"/>
    </row>
    <row r="16" spans="1:22" x14ac:dyDescent="0.25">
      <c r="A16" s="10" t="s">
        <v>103</v>
      </c>
      <c r="B16" s="11">
        <v>312.32</v>
      </c>
      <c r="C16" s="10" t="s">
        <v>104</v>
      </c>
      <c r="D16" s="11">
        <v>214.72</v>
      </c>
      <c r="E16" s="10"/>
      <c r="F16" s="10"/>
      <c r="G16" s="10" t="s">
        <v>43</v>
      </c>
      <c r="H16" s="13">
        <v>109.8</v>
      </c>
      <c r="I16" s="10" t="s">
        <v>106</v>
      </c>
      <c r="J16" s="11">
        <v>939.4</v>
      </c>
      <c r="K16" s="10"/>
      <c r="L16" s="10"/>
      <c r="M16" s="10" t="s">
        <v>56</v>
      </c>
      <c r="N16" s="11">
        <v>265</v>
      </c>
      <c r="O16" s="10" t="s">
        <v>107</v>
      </c>
      <c r="P16" s="11">
        <v>86.62</v>
      </c>
      <c r="Q16" s="10" t="s">
        <v>107</v>
      </c>
      <c r="R16" s="11">
        <v>86.62</v>
      </c>
      <c r="S16" s="10" t="s">
        <v>108</v>
      </c>
      <c r="T16" s="11">
        <v>125</v>
      </c>
      <c r="U16" s="10"/>
      <c r="V16" s="10"/>
    </row>
    <row r="17" spans="1:22" x14ac:dyDescent="0.25">
      <c r="A17" s="10" t="s">
        <v>147</v>
      </c>
      <c r="B17" s="11">
        <v>397.72</v>
      </c>
      <c r="C17" s="10" t="s">
        <v>111</v>
      </c>
      <c r="D17" s="11">
        <v>103.7</v>
      </c>
      <c r="E17" s="10"/>
      <c r="F17" s="10"/>
      <c r="G17" s="10"/>
      <c r="H17" s="10"/>
      <c r="I17" s="10" t="s">
        <v>112</v>
      </c>
      <c r="J17" s="11">
        <v>1098</v>
      </c>
      <c r="K17" s="10"/>
      <c r="L17" s="10"/>
      <c r="M17" s="10" t="s">
        <v>168</v>
      </c>
      <c r="N17" s="11">
        <v>327</v>
      </c>
      <c r="O17" s="10" t="s">
        <v>114</v>
      </c>
      <c r="P17" s="11">
        <v>212.28</v>
      </c>
      <c r="Q17" s="10" t="s">
        <v>114</v>
      </c>
      <c r="R17" s="11">
        <v>212.28</v>
      </c>
      <c r="S17" s="10" t="s">
        <v>115</v>
      </c>
      <c r="T17" s="11">
        <v>100</v>
      </c>
      <c r="U17" s="10"/>
      <c r="V17" s="10"/>
    </row>
    <row r="18" spans="1:22" x14ac:dyDescent="0.25">
      <c r="A18" s="10"/>
      <c r="B18" s="10"/>
      <c r="C18" s="10" t="s">
        <v>70</v>
      </c>
      <c r="D18" s="11">
        <v>1146.8</v>
      </c>
      <c r="E18" s="10"/>
      <c r="F18" s="10"/>
      <c r="G18" s="10"/>
      <c r="H18" s="10"/>
      <c r="I18" s="10" t="s">
        <v>117</v>
      </c>
      <c r="J18" s="11">
        <v>3416</v>
      </c>
      <c r="K18" s="10"/>
      <c r="L18" s="10"/>
      <c r="M18" s="10" t="s">
        <v>169</v>
      </c>
      <c r="N18" s="11">
        <v>248</v>
      </c>
      <c r="O18" s="10" t="s">
        <v>119</v>
      </c>
      <c r="P18" s="11">
        <v>668.56</v>
      </c>
      <c r="Q18" s="10" t="s">
        <v>119</v>
      </c>
      <c r="R18" s="11">
        <v>668.56</v>
      </c>
      <c r="S18" s="10" t="s">
        <v>70</v>
      </c>
      <c r="T18" s="11">
        <v>600</v>
      </c>
      <c r="U18" s="10"/>
      <c r="V18" s="10"/>
    </row>
    <row r="19" spans="1:22" x14ac:dyDescent="0.25">
      <c r="A19" s="10" t="s">
        <v>122</v>
      </c>
      <c r="B19" s="10"/>
      <c r="C19" s="10" t="s">
        <v>43</v>
      </c>
      <c r="D19" s="11">
        <v>152.5</v>
      </c>
      <c r="E19" s="10"/>
      <c r="F19" s="10"/>
      <c r="G19" s="10"/>
      <c r="H19" s="9"/>
      <c r="I19" s="10"/>
      <c r="J19" s="10"/>
      <c r="K19" s="10"/>
      <c r="L19" s="10"/>
      <c r="M19" s="10" t="s">
        <v>170</v>
      </c>
      <c r="N19" s="11">
        <v>650</v>
      </c>
      <c r="O19" s="10" t="s">
        <v>124</v>
      </c>
      <c r="P19" s="11">
        <v>334.28</v>
      </c>
      <c r="Q19" s="10" t="s">
        <v>124</v>
      </c>
      <c r="R19" s="11">
        <v>334.28</v>
      </c>
      <c r="S19" s="10"/>
      <c r="T19" s="10"/>
      <c r="U19" s="10"/>
      <c r="V19" s="10"/>
    </row>
    <row r="20" spans="1:22" x14ac:dyDescent="0.25">
      <c r="A20" s="10"/>
      <c r="B20" s="10"/>
      <c r="C20" s="10" t="s">
        <v>131</v>
      </c>
      <c r="D20" s="11">
        <v>53.68</v>
      </c>
      <c r="E20" s="10"/>
      <c r="F20" s="10"/>
      <c r="G20" s="10"/>
      <c r="H20" s="10"/>
      <c r="I20" s="10"/>
      <c r="J20" s="10"/>
      <c r="K20" s="10"/>
      <c r="L20" s="10"/>
      <c r="M20" s="10" t="s">
        <v>171</v>
      </c>
      <c r="N20" s="11">
        <v>780</v>
      </c>
      <c r="O20" s="10" t="s">
        <v>127</v>
      </c>
      <c r="P20" s="11">
        <v>217.16</v>
      </c>
      <c r="Q20" s="10" t="s">
        <v>127</v>
      </c>
      <c r="R20" s="11">
        <v>217.16</v>
      </c>
      <c r="S20" s="10"/>
      <c r="T20" s="10"/>
      <c r="U20" s="10"/>
      <c r="V20" s="10"/>
    </row>
    <row r="21" spans="1:22" x14ac:dyDescent="0.25">
      <c r="A21" s="10"/>
      <c r="B21" s="10"/>
      <c r="C21" s="10" t="s">
        <v>133</v>
      </c>
      <c r="D21" s="11">
        <v>103.7</v>
      </c>
      <c r="E21" s="10"/>
      <c r="F21" s="10"/>
      <c r="G21" s="10"/>
      <c r="H21" s="10"/>
      <c r="I21" s="10"/>
      <c r="J21" s="10"/>
      <c r="K21" s="10"/>
      <c r="L21" s="10"/>
      <c r="M21" s="10" t="s">
        <v>172</v>
      </c>
      <c r="N21" s="11">
        <v>37</v>
      </c>
      <c r="O21" s="10" t="s">
        <v>130</v>
      </c>
      <c r="P21" s="11">
        <v>1050.42</v>
      </c>
      <c r="Q21" s="10" t="s">
        <v>130</v>
      </c>
      <c r="R21" s="11">
        <v>1050.42</v>
      </c>
      <c r="S21" s="10"/>
      <c r="T21" s="10"/>
      <c r="U21" s="10"/>
      <c r="V21" s="10"/>
    </row>
    <row r="22" spans="1:22" x14ac:dyDescent="0.25">
      <c r="A22" s="10"/>
      <c r="B22" s="10"/>
      <c r="C22" s="10" t="s">
        <v>135</v>
      </c>
      <c r="D22" s="11">
        <v>53.68</v>
      </c>
      <c r="E22" s="10"/>
      <c r="F22" s="10"/>
      <c r="G22" s="10"/>
      <c r="H22" s="10"/>
      <c r="I22" s="10"/>
      <c r="J22" s="10"/>
      <c r="K22" s="10"/>
      <c r="L22" s="10"/>
      <c r="M22" s="10" t="s">
        <v>173</v>
      </c>
      <c r="N22" s="11">
        <v>48</v>
      </c>
      <c r="O22" s="10" t="s">
        <v>132</v>
      </c>
      <c r="P22" s="11">
        <v>485.56</v>
      </c>
      <c r="Q22" s="10" t="s">
        <v>132</v>
      </c>
      <c r="R22" s="11">
        <v>485.56</v>
      </c>
      <c r="S22" s="10"/>
      <c r="T22" s="10"/>
      <c r="U22" s="10"/>
      <c r="V22" s="10"/>
    </row>
    <row r="23" spans="1:22" x14ac:dyDescent="0.25">
      <c r="A23" s="10"/>
      <c r="B23" s="10"/>
      <c r="C23" s="10" t="s">
        <v>136</v>
      </c>
      <c r="D23" s="11">
        <v>76.86</v>
      </c>
      <c r="E23" s="10"/>
      <c r="F23" s="10"/>
      <c r="G23" s="10"/>
      <c r="H23" s="10"/>
      <c r="I23" s="10"/>
      <c r="J23" s="10"/>
      <c r="K23" s="10"/>
      <c r="L23" s="10"/>
      <c r="M23" s="10" t="s">
        <v>174</v>
      </c>
      <c r="N23" s="11">
        <v>57</v>
      </c>
      <c r="O23" s="10" t="s">
        <v>134</v>
      </c>
      <c r="P23" s="11">
        <v>114.68</v>
      </c>
      <c r="Q23" s="10" t="s">
        <v>134</v>
      </c>
      <c r="R23" s="11">
        <v>114.68</v>
      </c>
      <c r="S23" s="10"/>
      <c r="T23" s="10"/>
      <c r="U23" s="10"/>
      <c r="V23" s="10"/>
    </row>
    <row r="24" spans="1:22" x14ac:dyDescent="0.25">
      <c r="A24" s="10"/>
      <c r="B24" s="10"/>
      <c r="C24" s="10" t="s">
        <v>137</v>
      </c>
      <c r="D24" s="11">
        <v>201.3</v>
      </c>
      <c r="E24" s="10"/>
      <c r="F24" s="10"/>
      <c r="G24" s="10"/>
      <c r="H24" s="10"/>
      <c r="I24" s="10"/>
      <c r="J24" s="10"/>
      <c r="K24" s="10"/>
      <c r="L24" s="10"/>
      <c r="M24" s="10" t="s">
        <v>175</v>
      </c>
      <c r="N24" s="11">
        <v>80</v>
      </c>
      <c r="O24" s="10" t="s">
        <v>111</v>
      </c>
      <c r="P24" s="11">
        <v>76.86</v>
      </c>
      <c r="Q24" s="10" t="s">
        <v>111</v>
      </c>
      <c r="R24" s="11">
        <v>76.86</v>
      </c>
      <c r="S24" s="10"/>
      <c r="T24" s="10"/>
      <c r="U24" s="10"/>
      <c r="V24" s="10"/>
    </row>
    <row r="25" spans="1:22" x14ac:dyDescent="0.25">
      <c r="A25" s="10"/>
      <c r="B25" s="10"/>
      <c r="E25" s="10"/>
      <c r="F25" s="10"/>
      <c r="G25" s="10"/>
      <c r="H25" s="10"/>
      <c r="I25" s="10"/>
      <c r="J25" s="10"/>
      <c r="K25" s="10"/>
      <c r="L25" s="10"/>
      <c r="O25" s="10" t="s">
        <v>70</v>
      </c>
      <c r="P25" s="11">
        <v>829.6</v>
      </c>
      <c r="Q25" s="10" t="s">
        <v>70</v>
      </c>
      <c r="R25" s="11">
        <v>829.6</v>
      </c>
      <c r="S25" s="10"/>
      <c r="T25" s="10"/>
      <c r="U25" s="10"/>
      <c r="V25" s="10"/>
    </row>
    <row r="26" spans="1:22" x14ac:dyDescent="0.25">
      <c r="O26" s="10" t="s">
        <v>138</v>
      </c>
      <c r="P26" s="11">
        <v>37</v>
      </c>
    </row>
    <row r="27" spans="1:22" x14ac:dyDescent="0.25">
      <c r="O27" s="10" t="s">
        <v>139</v>
      </c>
      <c r="P27" s="11">
        <v>39</v>
      </c>
    </row>
    <row r="28" spans="1:22" x14ac:dyDescent="0.25">
      <c r="O28" s="10" t="s">
        <v>140</v>
      </c>
      <c r="P28" s="11">
        <v>28</v>
      </c>
    </row>
    <row r="29" spans="1:22" x14ac:dyDescent="0.25">
      <c r="O29" s="10" t="s">
        <v>141</v>
      </c>
      <c r="P29" s="11">
        <v>37</v>
      </c>
    </row>
    <row r="30" spans="1:22" x14ac:dyDescent="0.25">
      <c r="O30" s="10" t="s">
        <v>142</v>
      </c>
      <c r="P30" s="11">
        <v>31</v>
      </c>
    </row>
  </sheetData>
  <mergeCells count="5">
    <mergeCell ref="A6:B6"/>
    <mergeCell ref="C6:D6"/>
    <mergeCell ref="E6:F6"/>
    <mergeCell ref="G6:H6"/>
    <mergeCell ref="I6:J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129277FB35CF4FAB38DD7609D505F8" ma:contentTypeVersion="10" ma:contentTypeDescription="Crear nuevo documento." ma:contentTypeScope="" ma:versionID="1a1d8993e2ffc6080d9ca9801dffa755">
  <xsd:schema xmlns:xsd="http://www.w3.org/2001/XMLSchema" xmlns:xs="http://www.w3.org/2001/XMLSchema" xmlns:p="http://schemas.microsoft.com/office/2006/metadata/properties" xmlns:ns2="c08870ce-8089-48a0-af2c-0fd5ac8ef263" xmlns:ns3="76052e7d-082a-4b4d-8247-5722ae227f7e" targetNamespace="http://schemas.microsoft.com/office/2006/metadata/properties" ma:root="true" ma:fieldsID="61ea48d30a7c464d2201df3193355f0d" ns2:_="" ns3:_="">
    <xsd:import namespace="c08870ce-8089-48a0-af2c-0fd5ac8ef263"/>
    <xsd:import namespace="76052e7d-082a-4b4d-8247-5722ae227f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OCR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870ce-8089-48a0-af2c-0fd5ac8ef2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29c9f8d-ca07-41f4-8570-5402bfbacd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52e7d-082a-4b4d-8247-5722ae227f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18929e-b77a-4e8b-a620-bfad1f37a6b2}" ma:internalName="TaxCatchAll" ma:showField="CatchAllData" ma:web="76052e7d-082a-4b4d-8247-5722ae227f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8870ce-8089-48a0-af2c-0fd5ac8ef263">
      <Terms xmlns="http://schemas.microsoft.com/office/infopath/2007/PartnerControls"/>
    </lcf76f155ced4ddcb4097134ff3c332f>
    <TaxCatchAll xmlns="76052e7d-082a-4b4d-8247-5722ae227f7e" xsi:nil="true"/>
  </documentManagement>
</p:properties>
</file>

<file path=customXml/itemProps1.xml><?xml version="1.0" encoding="utf-8"?>
<ds:datastoreItem xmlns:ds="http://schemas.openxmlformats.org/officeDocument/2006/customXml" ds:itemID="{01E9DAB3-B14D-44A9-A265-4995F96E6F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8870ce-8089-48a0-af2c-0fd5ac8ef263"/>
    <ds:schemaRef ds:uri="76052e7d-082a-4b4d-8247-5722ae227f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5EEB08-FF4F-4365-83EB-3596C48B80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37064C-7530-497C-B20E-C65560693452}">
  <ds:schemaRefs>
    <ds:schemaRef ds:uri="http://schemas.microsoft.com/office/2006/metadata/properties"/>
    <ds:schemaRef ds:uri="http://schemas.microsoft.com/office/infopath/2007/PartnerControls"/>
    <ds:schemaRef ds:uri="c08870ce-8089-48a0-af2c-0fd5ac8ef263"/>
    <ds:schemaRef ds:uri="76052e7d-082a-4b4d-8247-5722ae227f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</vt:i4>
      </vt:variant>
    </vt:vector>
  </HeadingPairs>
  <TitlesOfParts>
    <vt:vector size="19" baseType="lpstr">
      <vt:lpstr>Costo ag. Mayo 2026</vt:lpstr>
      <vt:lpstr>Costo ag. Abril 2026</vt:lpstr>
      <vt:lpstr>Costo ag. Marzo 2026</vt:lpstr>
      <vt:lpstr>Costo ag. Febrero 2026</vt:lpstr>
      <vt:lpstr>Costo.ag Enero 2026</vt:lpstr>
      <vt:lpstr>Costo.ag Septiembre 2025</vt:lpstr>
      <vt:lpstr>Costo ag.Julio 2025</vt:lpstr>
      <vt:lpstr>Costo ag.Junio 2025</vt:lpstr>
      <vt:lpstr>Costo ag.Abril 2025</vt:lpstr>
      <vt:lpstr>Costo ag.Octubre 2024</vt:lpstr>
      <vt:lpstr>Costo ag.Septiembre 2024</vt:lpstr>
      <vt:lpstr>Costo ag.Agosto 2024 </vt:lpstr>
      <vt:lpstr>Costo ag.Julio 2024</vt:lpstr>
      <vt:lpstr>Costo ag.may Junio 2024</vt:lpstr>
      <vt:lpstr>Costo ag. abril 2024</vt:lpstr>
      <vt:lpstr>Costo ag.marz 2024</vt:lpstr>
      <vt:lpstr>Costo ag.ene 2024</vt:lpstr>
      <vt:lpstr>Costo ag.dic 2023</vt:lpstr>
      <vt:lpstr>'Costo ag. abril 2024'!Área_de_impresión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Veronica Da Silva</dc:creator>
  <cp:keywords/>
  <dc:description/>
  <cp:lastModifiedBy>Veronica Da Silva - PETINSA</cp:lastModifiedBy>
  <cp:revision/>
  <dcterms:created xsi:type="dcterms:W3CDTF">2023-11-09T13:57:14Z</dcterms:created>
  <dcterms:modified xsi:type="dcterms:W3CDTF">2026-05-06T17:39:32Z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0x01010011129277FB35CF4FAB38DD7609D505F8</vt:lpwstr>
  </property>
  <property fmtid="{D5CDD505-2E9C-101B-9397-08002B2CF9AE}" pid="3" name="MediaServiceImageTags">
    <vt:lpwstr/>
  </property>
</Properties>
</file>